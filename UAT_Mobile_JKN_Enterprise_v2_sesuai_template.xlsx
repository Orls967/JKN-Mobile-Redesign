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F0EAC83-7115-4370-BE18-E9A2662134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A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</calcChain>
</file>

<file path=xl/sharedStrings.xml><?xml version="1.0" encoding="utf-8"?>
<sst xmlns="http://schemas.openxmlformats.org/spreadsheetml/2006/main" count="300" uniqueCount="224">
  <si>
    <t>BERITA ACARA</t>
  </si>
  <si>
    <t>Rapat Pembahasan</t>
  </si>
  <si>
    <t>("User Acceptance Testing")</t>
  </si>
  <si>
    <t>Nama Proyek</t>
  </si>
  <si>
    <t>: Mobile JKN Redesign &amp; Real-Time Queue System</t>
  </si>
  <si>
    <t>Perjanjian Pokok</t>
  </si>
  <si>
    <t>: JMRO/UAT/06/2026</t>
  </si>
  <si>
    <t>Perihal</t>
  </si>
  <si>
    <t>Waktu Pelaksanaan</t>
  </si>
  <si>
    <t>: 08.00 – 12.00, 30 Juni 2026</t>
  </si>
  <si>
    <t>Tempat</t>
  </si>
  <si>
    <t>: Ruang Lab Komputer / Google Meet</t>
  </si>
  <si>
    <t>DAFTAR HADIR</t>
  </si>
  <si>
    <t>Nama</t>
  </si>
  <si>
    <t>Institusi</t>
  </si>
  <si>
    <t xml:space="preserve">                                                   Jabatan</t>
  </si>
  <si>
    <t>UAT</t>
  </si>
  <si>
    <t>a. Rundown</t>
  </si>
  <si>
    <t>08.00 - 08.15</t>
  </si>
  <si>
    <t>: Pembukaan</t>
  </si>
  <si>
    <t>08.15 - 08.30</t>
  </si>
  <si>
    <t>: Business Flow Overview</t>
  </si>
  <si>
    <t>08.30 - 10.00</t>
  </si>
  <si>
    <t>: Uat per fitur</t>
  </si>
  <si>
    <t>b. Notes &amp; Agreement</t>
  </si>
  <si>
    <t>PEKERJAAN/ FITUR YANG DIUJI :</t>
  </si>
  <si>
    <t>Kode US</t>
  </si>
  <si>
    <t>TCID</t>
  </si>
  <si>
    <t>Test Cases</t>
  </si>
  <si>
    <t>Test Steps</t>
  </si>
  <si>
    <t>Expected Result</t>
  </si>
  <si>
    <t>Actual Result</t>
  </si>
  <si>
    <t>Status</t>
  </si>
  <si>
    <t>Catatan</t>
  </si>
  <si>
    <t>JMRO-0001</t>
  </si>
  <si>
    <t>TC0001</t>
  </si>
  <si>
    <t>Operator menekan tombol NEXT pada kondisi antrean normal</t>
  </si>
  <si>
    <t>1. Buka Operator Queue Screen
2. Pastikan currentNumber = A-005
3. Tekan tombol NEXT</t>
  </si>
  <si>
    <t>currentNumber berubah menjadi A-006 di layar operator dalam &lt; 3 detik</t>
  </si>
  <si>
    <t>—</t>
  </si>
  <si>
    <t>Passed</t>
  </si>
  <si>
    <t>✅ Resolves State Lag
Membuktikan operator dapat memajukan antrean secara real-time; fondasi dari seluruh alur WebSocket.</t>
  </si>
  <si>
    <t>TC0002</t>
  </si>
  <si>
    <t>Nomor antrean di layar pasien ikut diperbarui setelah operator tekan NEXT</t>
  </si>
  <si>
    <t>1. Buka Patient Queue Screen di perangkat kedua
2. Operator tekan NEXT
3. Amati perubahan pada Patient Screen</t>
  </si>
  <si>
    <t>Current Number di Patient Screen berubah mengikuti operator secara otomatis tanpa refresh manual</t>
  </si>
  <si>
    <t>✅ Resolves Play Store Issue:
"Udah ambil antrean ko no antreannya gak muncul-muncul"
Membuktikan sinkronisasi WebSocket multi-device &lt; 1 detik.</t>
  </si>
  <si>
    <t>TC0003</t>
  </si>
  <si>
    <t>Tombol NEXT tidak tersedia pada layar pasien</t>
  </si>
  <si>
    <t>1. Login sebagai pasien
2. Buka Patient Queue Screen
3. Amati apakah tombol NEXT tersedia</t>
  </si>
  <si>
    <t>Tombol NEXT tidak muncul di layar pasien; hanya tersedia di Operator Screen</t>
  </si>
  <si>
    <t>🔒 RBAC UI Enforcement
Mencegah pasien mengakses fungsi operator; keamanan tampilan (Story 1.3).</t>
  </si>
  <si>
    <t>ABC-0002</t>
  </si>
  <si>
    <t>TC0004</t>
  </si>
  <si>
    <t>Live Queue Indicator menampilkan tiga nilai sekaligus (My Ticket, Current, Next)</t>
  </si>
  <si>
    <t>1. Login sebagai pasien dengan My Ticket = A-010
2. Buka Patient Queue Screen
3. Amati tampilan indikator</t>
  </si>
  <si>
    <t>Layar menampilkan: My Ticket (A-010), Current Number (nomor aktif), dan Next Number secara bersamaan</t>
  </si>
  <si>
    <t>✅ Resolves Play Store Issue:
"No antrean gak muncul-muncul"
Pasien langsung melihat posisinya dalam antrean tanpa ambiguitas.</t>
  </si>
  <si>
    <t>TC0005</t>
  </si>
  <si>
    <t>Live Queue Indicator diperbarui otomatis ketika operator tekan NEXT</t>
  </si>
  <si>
    <t>1. Pasien membuka Patient Screen
2. Operator tekan NEXT beberapa kali
3. Amati apakah nilai berubah tanpa refresh</t>
  </si>
  <si>
    <t>Current Number dan Next Number berubah secara otomatis tanpa aksi apapun dari pasien</t>
  </si>
  <si>
    <t>✅ Resolves State Lag
Mengeliminasi kebutuhan pull-to-refresh; pasien tidak perlu aksi manual (Epic 3).</t>
  </si>
  <si>
    <t>TC0006</t>
  </si>
  <si>
    <t>Connection State Banner menampilkan status 'Connected' saat WebSocket aktif</t>
  </si>
  <si>
    <t>1. Buka Patient Screen dengan koneksi internet stabil
2. Amati banner koneksi di bagian atas layar</t>
  </si>
  <si>
    <t>Banner menampilkan status 'Connected' dengan warna hijau atau indikator positif</t>
  </si>
  <si>
    <t>📡 Transparansi Koneksi
Pengguna mendapat feedback visual bahwa sistem berjalan normal; mengurangi tiket support palsu.</t>
  </si>
  <si>
    <t>TC0007</t>
  </si>
  <si>
    <t>Connection State Banner menampilkan 'Reconnecting' saat koneksi terputus lalu kembali 'Connected'</t>
  </si>
  <si>
    <t>1. Buka Patient Screen
2. Matikan WiFi/data perangkat selama 5 detik
3. Amati banner koneksi</t>
  </si>
  <si>
    <t>Banner segera berubah ke 'Reconnecting'; setelah koneksi pulih, banner kembali ke 'Connected'</t>
  </si>
  <si>
    <t>🔄 Graceful Degradation UX
Pasien tahu sistem sedang reconnect (bukan crash); mencegah mereka menutup aplikasi.</t>
  </si>
  <si>
    <t>JMRO-0003</t>
  </si>
  <si>
    <t>TC0008</t>
  </si>
  <si>
    <t>Proximity Status berubah menjadi 'Bersiap' saat sisa antrean ≤ 3</t>
  </si>
  <si>
    <t>1. Set My Ticket pasien = A-008
2. Operator tekan NEXT hingga currentNumber = A-005
3. Amati perubahan status dan warna</t>
  </si>
  <si>
    <t>Status berubah menjadi 'Bersiap' disertai perubahan warna indikator (bukan warna default)</t>
  </si>
  <si>
    <t>🔔 Resolves No-Show Risk
Pasien mendapat peringatan visual untuk segera bersiap, mengurangi waktu tunggu operator (UAT-A3).</t>
  </si>
  <si>
    <t>TC0009</t>
  </si>
  <si>
    <t>Proximity Status berubah menjadi 'Sedang Dipanggil' saat nomor pasien aktif</t>
  </si>
  <si>
    <t>1. Set My Ticket pasien = A-007
2. Operator tekan NEXT hingga currentNumber = A-007</t>
  </si>
  <si>
    <t>Status berubah menjadi 'Sedang Dipanggil' dengan warna hijau</t>
  </si>
  <si>
    <t>📢 Real-Time Call Notification
Pasien mendapat konfirmasi visual instan; mengeliminasi ketergantungan pada pengumuman audio.</t>
  </si>
  <si>
    <t>TC0010</t>
  </si>
  <si>
    <t>Proximity Status berubah menjadi 'Sudah Terlewati' saat nomor pasien dilewati</t>
  </si>
  <si>
    <t>1. Set My Ticket pasien = A-005
2. Operator tekan NEXT hingga currentNumber = A-007</t>
  </si>
  <si>
    <t>Status berubah menjadi 'Sudah Terlewati' dengan warna merah</t>
  </si>
  <si>
    <t>⚠️ Missed Queue Awareness
Pasien tahu mereka terlewati dan perlu melapor ke loket; mencegah kebingungan di ruang tunggu.</t>
  </si>
  <si>
    <t>JMRO-0004</t>
  </si>
  <si>
    <t>TC0011</t>
  </si>
  <si>
    <t>Notifikasi lokal muncul saat kondisi proximity terpenuhi (sisa ≤ 3 nomor)</t>
  </si>
  <si>
    <t>1. Pastikan izin notifikasi diberikan di perangkat
2. Set My Ticket = A-010, currentNumber = A-006
3. Operator tekan NEXT sekali (current = A-007)</t>
  </si>
  <si>
    <t>Notifikasi Android lokal muncul dengan pesan bahwa giliran pasien tinggal dekat</t>
  </si>
  <si>
    <t>🔔 Resolves No-Show / Pasien Terlambat Kembali
Notifikasi push lokal memastikan pasien yang meninggalkan ruang tunggu tetap terinformasi.</t>
  </si>
  <si>
    <t>TC0012</t>
  </si>
  <si>
    <t>Notifikasi tidak berulang untuk setiap tekan NEXT setelah ambang batas terpenuhi</t>
  </si>
  <si>
    <t>1. Kondisi proximity sudah terpenuhi (sisa ≤ 3)
2. Operator tekan NEXT beberapa kali lagi</t>
  </si>
  <si>
    <t>Notifikasi hanya muncul sekali pada saat ambang batas pertama kali terpenuhi, tidak berulang</t>
  </si>
  <si>
    <t>🚫 Notification UX Quality
Mencegah spam notifikasi yang mengganggu pengguna dan merusak kepercayaan terhadap aplikasi.</t>
  </si>
  <si>
    <t>TC0013</t>
  </si>
  <si>
    <t>Notifikasi tidak muncul saat sisa antrean masih &gt; 3</t>
  </si>
  <si>
    <t>1. Set My Ticket = A-020, currentNumber = A-001
2. Operator tekan NEXT beberapa kali (masih &gt; 3 sisa)</t>
  </si>
  <si>
    <t>Tidak ada notifikasi yang muncul selama sisa antrean masih lebih dari 3</t>
  </si>
  <si>
    <t>🚫 False Alarm Prevention
Mencegah notifikasi prematur yang membuat pasien terburu-buru sebelum waktunya.</t>
  </si>
  <si>
    <t>JMRO-0005</t>
  </si>
  <si>
    <t>TC0014</t>
  </si>
  <si>
    <t>ETA ditampilkan di Patient Screen berdasarkan rata-rata waktu layanan aktual</t>
  </si>
  <si>
    <t>1. Buka Patient Screen
2. Operator tekan NEXT beberapa kali dengan jeda waktu berbeda
3. Amati nilai ETA yang ditampilkan</t>
  </si>
  <si>
    <t>ETA tampil dalam satuan menit dan berubah dinamis sesuai rata-rata kecepatan layanan aktual</t>
  </si>
  <si>
    <t>⏱ Informed Waiting Experience
Pasien dapat memperkirakan kapan harus kembali; mengurangi kepadatan di ruang tunggu.</t>
  </si>
  <si>
    <t>TC0015</t>
  </si>
  <si>
    <t>ETA diperbarui otomatis setelah setiap panggilan NEXT</t>
  </si>
  <si>
    <t>1. Catat nilai ETA awal
2. Operator tekan NEXT
3. Amati apakah ETA berubah</t>
  </si>
  <si>
    <t>Nilai ETA diperbarui secara otomatis tanpa refresh manual setelah setiap pemanggilan nomor</t>
  </si>
  <si>
    <t>⏱ Real-Time ETA Accuracy
ETA yang selalu mutakhir lebih akurat dari estimasi statis; membuktikan pipeline Epic 3 end-to-end.</t>
  </si>
  <si>
    <t>JMRO-0006</t>
  </si>
  <si>
    <t>TC0016</t>
  </si>
  <si>
    <t>Login dengan akun operator berhasil mengakses Operator Screen</t>
  </si>
  <si>
    <t>1. Input email: operator@seed.com
2. Input password yang valid
3. Tap login</t>
  </si>
  <si>
    <t>Diarahkan ke Operator Queue Screen; tombol NEXT tersedia</t>
  </si>
  <si>
    <t>🔐 Access Control Validation
Memastikan petugas berwenang dapat menggunakan fungsi manajemen antrean tanpa hambatan.</t>
  </si>
  <si>
    <t>TC0017</t>
  </si>
  <si>
    <t>Login dengan akun pasien tidak dapat mengakses Operator Screen</t>
  </si>
  <si>
    <t>1. Login dengan akun pasien
2. Coba navigasi ke Operator Screen</t>
  </si>
  <si>
    <t>Akun pasien tidak dapat mengakses Operator Screen; hanya bisa melihat Patient Queue Screen</t>
  </si>
  <si>
    <t>🔐 Privilege Escalation Prevention
Mencegah pasien mengambil alih kontrol antrean; kritis untuk integritas sistem antrian publik.</t>
  </si>
  <si>
    <t>JMRO-0007</t>
  </si>
  <si>
    <t>TC0018</t>
  </si>
  <si>
    <t>Bottom Navigation berfungsi dan berpindah antar layar tanpa crash</t>
  </si>
  <si>
    <t>1. Buka aplikasi sebagai pasien
2. Tap ikon di Bottom Navigation (Home, Antrean, Profil, FAQ)</t>
  </si>
  <si>
    <t>Navigasi berpindah ke layar yang sesuai; tidak ada crash saat berpindah</t>
  </si>
  <si>
    <t>📱 App Stability Baseline
Navigasi dasar adalah fondasi UX; crash pada navigasi meningkatkan bad review di Play Store.</t>
  </si>
  <si>
    <t>TC0019</t>
  </si>
  <si>
    <t>Home Screen menampilkan menu Antrean Online melalui Bottom Sheet Picker</t>
  </si>
  <si>
    <t>1. Buka Home Screen
2. Tap menu Antrean Online</t>
  </si>
  <si>
    <t>Bottom Sheet muncul dengan pilihan layanan (Tingkat Pertama, Rujukan, dll.)</t>
  </si>
  <si>
    <t>📱 Service Discovery UX
Pasien dapat menemukan dan memilih jenis layanan (Tingkat Pertama, Rujukan) secara intuitif.</t>
  </si>
  <si>
    <t>TC0020</t>
  </si>
  <si>
    <t>Kartu Peserta Screen menampilkan data KIS Digital</t>
  </si>
  <si>
    <t>1. Buka halaman Kartu Peserta
2. Amati tampilan kartu</t>
  </si>
  <si>
    <t>Tampil kartu KIS digital dengan data peserta (dapat berupa data dummy)</t>
  </si>
  <si>
    <t>💳 Digital Identity Display
Menggantikan kartu fisik; pasien dapat menunjukkan bukti kepesertaan BPJS dari aplikasi.</t>
  </si>
  <si>
    <t>JMRO-0008</t>
  </si>
  <si>
    <t>Non-Functional — Stabilitas &amp; Observabilitas (Firebase Crashlytics)</t>
  </si>
  <si>
    <t>TC0021</t>
  </si>
  <si>
    <t>Crash test manual tercatat di Firebase Crashlytics Dashboard</t>
  </si>
  <si>
    <t>1. Jalankan test crash:
   FirebaseCrashlytics.getInstance().log(...)
2. Periksa Firebase Console setelah beberapa menit</t>
  </si>
  <si>
    <t>Laporan crash muncul di Firebase Crashlytics Dashboard disertai stack trace</t>
  </si>
  <si>
    <t>🛡 Proactive Bug Detection
Tim dapat mendeteksi dan memperbaiki crash sebelum dilaporkan pengguna melalui review negatif Play Store.</t>
  </si>
  <si>
    <t>TC0022</t>
  </si>
  <si>
    <t>Kegagalan koneksi WebSocket tercatat sebagai non-fatal exception</t>
  </si>
  <si>
    <t>1. Paksa koneksi WebSocket gagal (matikan server sementara)
2. Buka Patient Screen
3. Periksa Firebase Console</t>
  </si>
  <si>
    <t>Non-fatal exception terkait WebSocket tercatat di Crashlytics dengan informasi error yang cukup</t>
  </si>
  <si>
    <t>🛡 WebSocket Error Observability
Tim mendapat visibilitas penuh terhadap kegagalan WebSocket; memungkinkan diagnosis root cause koneksi real-time.</t>
  </si>
  <si>
    <t>TC-B01</t>
  </si>
  <si>
    <t>[Idempotency] Pasien pada koneksi lambat menekan tombol "Daftar Antrean" 5 kali; sistem hanya menerbitkan 1 nomor tiket</t>
  </si>
  <si>
    <t>1. Aktifkan network throttling (simulasi koneksi 2G) di developer options / proxy tool
2. Navigasi ke halaman Daftar Antrean
3. Tekan tombol "Daftar" 5 kali berturut-turut secepat mungkin
4. Tunggu hingga seluruh request selesai diproses
5. Periksa jumlah tiket yang diterbitkan di database / UI operator</t>
  </si>
  <si>
    <t>Pasien hanya menerima tepat 1 nomor antrean; tidak ada tiket duplikat.
Server merespons request ke-2 s.d. ke-5 secara idempotent (hasil identik dengan request pertama), bukan menerbitkan tiket baru.</t>
  </si>
  <si>
    <t>Pending</t>
  </si>
  <si>
    <t>🚨 Resolves Play Store Issue (CRITICAL):
"Daftar gak masuk2 disuruh coba lagi… ternyata sdh dpt antrean"
(Ghost Data / Double Booking)
Membuktikan Epic 4: Idempotency Key &amp; Distributed Lock.</t>
  </si>
  <si>
    <t>TC-B02</t>
  </si>
  <si>
    <t>[Server-Side Time Authority] Pasien mengubah tanggal/waktu perangkat Android ke "Besok" lalu mendaftar antrean</t>
  </si>
  <si>
    <t>1. Masuk ke Pengaturan → Tanggal &amp; Waktu di perangkat Android
2. Nonaktifkan "Setel otomatis", ubah tanggal ke H+1 (besok)
3. Buka aplikasi dan navigasi ke halaman Daftar Antrean
4. Tekan tombol "Daftar Antrean"
5. Amati tanggal/sesi antrean yang tercetak pada tiket</t>
  </si>
  <si>
    <t>Tiket diterbitkan menggunakan tanggal hari ini sesuai jam server (bukan jam perangkat).
Sistem menolak/mengabaikan timestamp dari klien; jadwal dikunci berdasarkan Server Time Authority.</t>
  </si>
  <si>
    <t>🚨 Resolves Play Store Issue (CRITICAL):
"Ambil untuk besok… eh tiba2 selesai sendiri hari ini / dibatalin"
(Timezone &amp; Clock Exploit)
Membuktikan Epic 4: Server-Side Time Authority.</t>
  </si>
  <si>
    <t>TC-B03</t>
  </si>
  <si>
    <t>[Circuit Breaker] Penguji memutus koneksi ke server BPJS (simulasi dependency down); pasien membuka aplikasi</t>
  </si>
  <si>
    <t>1. Simulasikan kegagalan server BPJS: matikan service upstream atau blokir endpoint BPJS di konfigurasi server
2. Buka aplikasi sebagai pasien
3. Navigasi ke halaman Antrean Online
4. Amati perilaku aplikasi selama 15–30 detik</t>
  </si>
  <si>
    <t>Aplikasi tidak menampilkan loading spinner tanpa batas.
Circuit Breaker aktif; layar menampilkan UI Fallback informatif:
"Layanan antrean BPJS sedang dalam pemeliharaan rutin. Silakan coba beberapa saat lagi."
Tidak ada crash atau freeze.</t>
  </si>
  <si>
    <t>🚨 Resolves Play Store Issue (CRITICAL):
"Error / Disuruh coba lagi berulang-ulang"
(System Hang / Overload)
Membuktikan Epic 4: Circuit Breaker &amp; HTTP 202.</t>
  </si>
  <si>
    <t>TC-B04</t>
  </si>
  <si>
    <t>[Rate Limiter] Simulasi lonjakan traffic: lebih dari N request dikirimkan dalam waktu singkat dari satu klien</t>
  </si>
  <si>
    <t>1. Gunakan tool (curl loop / Postman Runner / script) untuk mengirim &gt; ambang batas rate limit (mis: 20 req/detik) ke endpoint daftar antrean
2. Amati respons HTTP yang diterima pada request di atas batas
3. Verifikasi pengguna lain yang mengakses normal tidak terdampak</t>
  </si>
  <si>
    <t>Request yang melampaui ambang batas menerima HTTP 429 (Too Many Requests) dengan pesan informatif.
Pengguna lain mendapat respons normal; sistem tetap responsif.
Server tidak crash atau hang.</t>
  </si>
  <si>
    <t>⚡ Resolves Play Store Issue:
"App freeze / tidak responsif saat jam sibuk"
(Server Overload)
Membuktikan Epic 4: Rate Limiter.</t>
  </si>
  <si>
    <t>JMRO-0009</t>
  </si>
  <si>
    <t>TC-C01</t>
  </si>
  <si>
    <t>Percobaan ke-1 — Operator menekan tombol NEXT;
mengukur waktu dari NEXT ditekan (Device A)
hingga Current Number &amp; ETA diperbarui di
layar Pasien (Device B) tanpa refresh manual.</t>
  </si>
  <si>
    <t>1. Siapkan Device A (Operator Screen) &amp;
   Device B (Patient Screen) di jaringan sama.
2. Catat T1: saat tombol NEXT ditekan di Device A
   (gunakan stopwatch digital, satuan detik).
3. Catat T2: saat Current Number &amp; ETA berubah
   di Device B tanpa refresh manual.
4. Hitung: Waktu Respons = T2 − T1 (2 desimal).
5. Catat hasil di kolom "Waktu Respons".</t>
  </si>
  <si>
    <t>Waktu Respons &lt; 3,00 detik pada setiap percobaan.</t>
  </si>
  <si>
    <t>⚡ Pembuktian SLA Response Time
Membuktikan secara kuantitatif bahwa pipeline
WebSocket (Device A → Server → Device B)
memenuhi SLA &lt; 3 detik untuk setiap
panggilan nomor antrean oleh operator.
Resolves: State Lag (Epic 2 &amp; 3).</t>
  </si>
  <si>
    <t>TC-C02</t>
  </si>
  <si>
    <t>Percobaan ke-2 — Operator menekan tombol NEXT;
mengukur waktu dari NEXT ditekan (Device A)
hingga Current Number &amp; ETA diperbarui di
layar Pasien (Device B) tanpa refresh manual.</t>
  </si>
  <si>
    <t>TC-C03</t>
  </si>
  <si>
    <t>Percobaan ke-3 — Operator menekan tombol NEXT;
mengukur waktu dari NEXT ditekan (Device A)
hingga Current Number &amp; ETA diperbarui di
layar Pasien (Device B) tanpa refresh manual.</t>
  </si>
  <si>
    <t>TC-C04</t>
  </si>
  <si>
    <t>Percobaan ke-4 — Operator menekan tombol NEXT;
mengukur waktu dari NEXT ditekan (Device A)
hingga Current Number &amp; ETA diperbarui di
layar Pasien (Device B) tanpa refresh manual.</t>
  </si>
  <si>
    <t>TC-C05</t>
  </si>
  <si>
    <t>Percobaan ke-5 — Operator menekan tombol NEXT;
mengukur waktu dari NEXT ditekan (Device A)
hingga Current Number &amp; ETA diperbarui di
layar Pasien (Device B) tanpa refresh manual.</t>
  </si>
  <si>
    <t>JMRO-0010</t>
  </si>
  <si>
    <t>TC-C06</t>
  </si>
  <si>
    <t>[Auto-Catch-Up] Device B (Pasien) dimatikan WiFi-nya
sementara (Airplane Mode); Operator memanggil
beberapa nomor berikutnya via NEXT di Device A;
Device B dinyalakan kembali — aplikasi harus
auto-reconnect WebSocket &amp; mengejar ke nomor
antrean terbaru tanpa refresh manual oleh pasien.</t>
  </si>
  <si>
    <t>1. Buka Patient Screen di Device B;
   pastikan banner = "Connected".
2. Aktifkan Airplane Mode di Device B
   (WiFi &amp; data terputus).
3. Sementara Device B offline: Operator tekan
   NEXT 2–3 kali di Device A
   (mis. A-010 → A-011 → A-012).
4. Nonaktifkan Airplane Mode di Device B;
   amati perilaku aplikasi.
5. Catat: (a) waktu hingga banner kembali
   "Connected", (b) apakah Current Number &amp;
   ETA langsung menampilkan nilai terbaru
   (A-012), (c) apakah diperlukan refresh manual.</t>
  </si>
  <si>
    <t>Setelah WiFi Device B kembali aktif:
• Banner: "Reconnecting" → "Connected" otomatis.
• Current Number &amp; ETA langsung perbarui ke
  nilai terbaru (A-012) tanpa refresh manual.
• Tidak ada crash / state tertinggal di nomor lama.
• Waktu auto-reconnect &amp; catch-up ≤ 5 detik
  setelah sinyal kembali.</t>
  </si>
  <si>
    <t>🔄 Pembuktian Auto-Catch-Up WebSocket
Membuktikan sistem melakukan auto-reconnect
&amp; state sync setelah koneksi Device B terputus
sementara — tanpa intervensi manual pasien.
Resolves: Graceful Degradation UX (Epic 2 &amp; 3).</t>
  </si>
  <si>
    <t>REKAP HASIL UAT</t>
  </si>
  <si>
    <t>Bug</t>
  </si>
  <si>
    <t>Enhancement</t>
  </si>
  <si>
    <t>Total</t>
  </si>
  <si>
    <t>CATATAN DAN KESEPAKATAN</t>
  </si>
  <si>
    <t>Kategori</t>
  </si>
  <si>
    <t>Catatan dan Kesepakatan</t>
  </si>
  <si>
    <t>PJ</t>
  </si>
  <si>
    <t>BANJARMASIN, 30 JUNI 2026</t>
  </si>
  <si>
    <t>MENGESAHKAN,</t>
  </si>
  <si>
    <t xml:space="preserve">PIHAK PERTAMA </t>
  </si>
  <si>
    <t xml:space="preserve">PIHAK KEDUA </t>
  </si>
  <si>
    <t>UNIVERSITAS / DOSEN PENGAMPU</t>
  </si>
  <si>
    <t>TIM MOBILE JKN REDESIGN</t>
  </si>
  <si>
    <t>(_____________________________)</t>
  </si>
  <si>
    <t>DOSEN PENGAMPU</t>
  </si>
  <si>
    <t>PROJECT MANAGER</t>
  </si>
  <si>
    <t xml:space="preserve">: User Acceptance Testing (UAT) </t>
  </si>
  <si>
    <t>JMRO-0002</t>
  </si>
  <si>
    <t xml:space="preserve"> Operator Memanggil Nomor Antrean (NEXT)</t>
  </si>
  <si>
    <t xml:space="preserve"> Live Queue Indicator Real-Time</t>
  </si>
  <si>
    <t>Proximity Status Antrean</t>
  </si>
  <si>
    <t>Smart Proximity Notification (Android Local)</t>
  </si>
  <si>
    <t xml:space="preserve"> Estimasi Waktu Tunggu (ETA) Real-Time</t>
  </si>
  <si>
    <t xml:space="preserve"> Role-Based Access Control (RBAC)</t>
  </si>
  <si>
    <t>Navigasi &amp; Tampilan Shell Aplikasi</t>
  </si>
  <si>
    <t xml:space="preserve"> Pembuktian Kecepatan Respons WebSocket (Response Time &lt; 3 Detik)</t>
  </si>
  <si>
    <t>Pembuktian Sinkronisasi Pasca-Disconnect (Auto-Catch-Up WebSocket)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</si>
</sst>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5" xfId="0" applyFont="1" applyFill="1" applyBorder="1" applyAlignment="1">
      <alignment horizontal="center" vertical="center"/>
    </xf>
    <xf numFmtId="0" fontId="0" fillId="0" borderId="1" xfId="0" applyBorder="1"/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5" xfId="0" applyBorder="1"/>
    <xf numFmtId="0" fontId="0" fillId="0" borderId="19" xfId="0" applyBorder="1"/>
    <xf numFmtId="0" fontId="3" fillId="0" borderId="14" xfId="0" applyFont="1" applyBorder="1"/>
    <xf numFmtId="0" fontId="2" fillId="3" borderId="21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0" xfId="0" quotePrefix="1"/>
    <xf numFmtId="0" fontId="2" fillId="3" borderId="0" xfId="0" applyFont="1" applyFill="1" applyAlignment="1">
      <alignment horizontal="left" vertical="center"/>
    </xf>
    <xf numFmtId="0" fontId="0" fillId="0" borderId="2" xfId="0" quotePrefix="1" applyBorder="1"/>
    <xf numFmtId="0" fontId="0" fillId="0" borderId="3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7" xfId="0" applyFont="1" applyBorder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9" xfId="0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8" xfId="0" applyBorder="1" applyAlignment="1">
      <alignment wrapText="1"/>
    </xf>
    <xf numFmtId="0" fontId="1" fillId="2" borderId="0" xfId="0" quotePrefix="1" applyFont="1" applyFill="1" applyAlignment="1">
      <alignment horizontal="center" vertical="center" wrapText="1" readingOrder="1"/>
    </xf>
  </cellXfs>
  <cellStyles count="1">
    <cellStyle name="Normal" xfId="0" builtinId="0"/>
  </cellStyles>
  <dxfs count="6"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B1:J113"/>
  <sheetViews>
    <sheetView showGridLines="0" tabSelected="1" zoomScale="70" zoomScaleNormal="70" workbookViewId="0">
      <selection activeCell="C67" sqref="C67"/>
    </sheetView>
  </sheetViews>
  <sheetFormatPr defaultRowHeight="14.4" x14ac:dyDescent="0.3"/>
  <cols>
    <col min="1" max="1" width="9" customWidth="1"/>
    <col min="2" max="2" width="14.109375" customWidth="1"/>
    <col min="3" max="3" width="71.5546875" bestFit="1" customWidth="1"/>
    <col min="4" max="4" width="40.77734375" bestFit="1" customWidth="1"/>
    <col min="5" max="5" width="113.88671875" bestFit="1" customWidth="1"/>
    <col min="6" max="6" width="51.88671875" customWidth="1"/>
    <col min="7" max="7" width="46.77734375" style="51" bestFit="1" customWidth="1"/>
    <col min="8" max="8" width="37.6640625" bestFit="1" customWidth="1"/>
    <col min="9" max="9" width="113.44140625" style="51" bestFit="1" customWidth="1"/>
  </cols>
  <sheetData>
    <row r="1" spans="2:9" ht="25.8" customHeight="1" x14ac:dyDescent="0.5">
      <c r="F1" s="34" t="s">
        <v>0</v>
      </c>
    </row>
    <row r="2" spans="2:9" ht="25.8" customHeight="1" x14ac:dyDescent="0.5">
      <c r="F2" s="34" t="s">
        <v>1</v>
      </c>
    </row>
    <row r="3" spans="2:9" ht="25.8" customHeight="1" x14ac:dyDescent="0.5">
      <c r="F3" s="34" t="s">
        <v>2</v>
      </c>
    </row>
    <row r="4" spans="2:9" ht="25.8" customHeight="1" x14ac:dyDescent="0.5">
      <c r="F4" s="33"/>
    </row>
    <row r="6" spans="2:9" x14ac:dyDescent="0.3">
      <c r="B6" t="s">
        <v>3</v>
      </c>
      <c r="D6" t="s">
        <v>4</v>
      </c>
    </row>
    <row r="7" spans="2:9" x14ac:dyDescent="0.3">
      <c r="B7" t="s">
        <v>5</v>
      </c>
      <c r="D7" t="s">
        <v>6</v>
      </c>
    </row>
    <row r="8" spans="2:9" x14ac:dyDescent="0.3">
      <c r="B8" t="s">
        <v>7</v>
      </c>
      <c r="D8" t="s">
        <v>213</v>
      </c>
    </row>
    <row r="9" spans="2:9" x14ac:dyDescent="0.3">
      <c r="B9" t="s">
        <v>8</v>
      </c>
      <c r="D9" t="s">
        <v>9</v>
      </c>
    </row>
    <row r="10" spans="2:9" x14ac:dyDescent="0.3">
      <c r="B10" t="s">
        <v>10</v>
      </c>
      <c r="D10" t="s">
        <v>11</v>
      </c>
    </row>
    <row r="12" spans="2:9" x14ac:dyDescent="0.3">
      <c r="B12" s="12" t="s">
        <v>12</v>
      </c>
    </row>
    <row r="14" spans="2:9" s="13" customFormat="1" ht="26.25" customHeight="1" x14ac:dyDescent="0.3">
      <c r="B14" s="17"/>
      <c r="C14" s="2" t="s">
        <v>13</v>
      </c>
      <c r="D14" s="2"/>
      <c r="E14" s="9" t="s">
        <v>14</v>
      </c>
      <c r="F14" s="30" t="s">
        <v>15</v>
      </c>
      <c r="G14" s="63"/>
      <c r="H14" s="2"/>
      <c r="I14" s="52"/>
    </row>
    <row r="15" spans="2:9" x14ac:dyDescent="0.3">
      <c r="B15" s="31"/>
      <c r="C15" s="16"/>
      <c r="D15" s="16"/>
      <c r="E15" s="32"/>
      <c r="F15" s="16"/>
      <c r="G15" s="64"/>
      <c r="H15" s="16"/>
      <c r="I15" s="53"/>
    </row>
    <row r="16" spans="2:9" x14ac:dyDescent="0.3">
      <c r="B16" s="31"/>
      <c r="C16" s="16"/>
      <c r="D16" s="16"/>
      <c r="E16" s="32"/>
      <c r="F16" s="16"/>
      <c r="G16" s="64"/>
      <c r="H16" s="16"/>
      <c r="I16" s="53"/>
    </row>
    <row r="17" spans="2:10" x14ac:dyDescent="0.3">
      <c r="B17" s="31"/>
      <c r="C17" s="16"/>
      <c r="D17" s="16"/>
      <c r="E17" s="32"/>
      <c r="F17" s="16"/>
      <c r="G17" s="64"/>
      <c r="H17" s="16"/>
      <c r="I17" s="53"/>
    </row>
    <row r="18" spans="2:10" x14ac:dyDescent="0.3">
      <c r="B18" s="31"/>
      <c r="C18" s="16"/>
      <c r="D18" s="16"/>
      <c r="E18" s="18"/>
      <c r="F18" s="16"/>
      <c r="G18" s="64"/>
      <c r="H18" s="16"/>
      <c r="I18" s="53"/>
    </row>
    <row r="20" spans="2:10" x14ac:dyDescent="0.3">
      <c r="B20" s="12" t="s">
        <v>16</v>
      </c>
    </row>
    <row r="21" spans="2:10" x14ac:dyDescent="0.3">
      <c r="B21" t="s">
        <v>17</v>
      </c>
    </row>
    <row r="22" spans="2:10" x14ac:dyDescent="0.3">
      <c r="C22" s="29" t="s">
        <v>18</v>
      </c>
      <c r="D22" t="s">
        <v>19</v>
      </c>
    </row>
    <row r="23" spans="2:10" x14ac:dyDescent="0.3">
      <c r="C23" t="s">
        <v>20</v>
      </c>
      <c r="D23" t="s">
        <v>21</v>
      </c>
    </row>
    <row r="24" spans="2:10" x14ac:dyDescent="0.3">
      <c r="C24" s="29" t="s">
        <v>22</v>
      </c>
      <c r="D24" t="s">
        <v>23</v>
      </c>
    </row>
    <row r="25" spans="2:10" x14ac:dyDescent="0.3">
      <c r="C25" s="29"/>
    </row>
    <row r="26" spans="2:10" x14ac:dyDescent="0.3">
      <c r="B26" t="s">
        <v>24</v>
      </c>
    </row>
    <row r="29" spans="2:10" s="1" customFormat="1" x14ac:dyDescent="0.3">
      <c r="B29" s="11" t="s">
        <v>25</v>
      </c>
      <c r="G29" s="36"/>
      <c r="I29" s="36"/>
    </row>
    <row r="30" spans="2:10" s="1" customFormat="1" x14ac:dyDescent="0.3">
      <c r="G30" s="36"/>
      <c r="I30" s="36"/>
    </row>
    <row r="31" spans="2:10" s="1" customFormat="1" ht="22.5" customHeight="1" x14ac:dyDescent="0.3">
      <c r="B31" s="27" t="s">
        <v>26</v>
      </c>
      <c r="C31" s="9" t="s">
        <v>27</v>
      </c>
      <c r="D31" s="9" t="s">
        <v>28</v>
      </c>
      <c r="E31" s="9" t="s">
        <v>29</v>
      </c>
      <c r="F31" s="9" t="s">
        <v>30</v>
      </c>
      <c r="G31" s="65" t="s">
        <v>31</v>
      </c>
      <c r="H31" s="9" t="s">
        <v>32</v>
      </c>
      <c r="I31" s="54" t="s">
        <v>33</v>
      </c>
      <c r="J31" s="10"/>
    </row>
    <row r="32" spans="2:10" s="1" customFormat="1" x14ac:dyDescent="0.3">
      <c r="B32" s="28" t="s">
        <v>34</v>
      </c>
      <c r="C32" s="6" t="s">
        <v>215</v>
      </c>
      <c r="D32" s="7"/>
      <c r="E32" s="7"/>
      <c r="F32" s="7"/>
      <c r="G32" s="8"/>
      <c r="H32" s="6"/>
      <c r="I32" s="8"/>
      <c r="J32" s="10"/>
    </row>
    <row r="33" spans="2:10" s="1" customFormat="1" ht="43.2" x14ac:dyDescent="0.3">
      <c r="B33" s="3"/>
      <c r="C33" s="3" t="s">
        <v>35</v>
      </c>
      <c r="D33" s="4" t="s">
        <v>36</v>
      </c>
      <c r="E33" s="5" t="s">
        <v>37</v>
      </c>
      <c r="F33" s="4" t="s">
        <v>38</v>
      </c>
      <c r="G33" s="4" t="s">
        <v>39</v>
      </c>
      <c r="H33" s="50" t="s">
        <v>40</v>
      </c>
      <c r="I33" s="4" t="s">
        <v>41</v>
      </c>
    </row>
    <row r="34" spans="2:10" s="1" customFormat="1" ht="43.2" x14ac:dyDescent="0.3">
      <c r="B34" s="3"/>
      <c r="C34" s="3" t="s">
        <v>42</v>
      </c>
      <c r="D34" s="4" t="s">
        <v>43</v>
      </c>
      <c r="E34" s="5" t="s">
        <v>44</v>
      </c>
      <c r="F34" s="4" t="s">
        <v>45</v>
      </c>
      <c r="G34" s="4" t="s">
        <v>39</v>
      </c>
      <c r="H34" s="50" t="s">
        <v>40</v>
      </c>
      <c r="I34" s="4" t="s">
        <v>46</v>
      </c>
    </row>
    <row r="35" spans="2:10" s="1" customFormat="1" ht="43.2" x14ac:dyDescent="0.3">
      <c r="B35" s="3"/>
      <c r="C35" s="3" t="s">
        <v>47</v>
      </c>
      <c r="D35" s="4" t="s">
        <v>48</v>
      </c>
      <c r="E35" s="5" t="s">
        <v>49</v>
      </c>
      <c r="F35" s="4" t="s">
        <v>50</v>
      </c>
      <c r="G35" s="4" t="s">
        <v>39</v>
      </c>
      <c r="H35" s="50" t="s">
        <v>40</v>
      </c>
      <c r="I35" s="4" t="s">
        <v>51</v>
      </c>
    </row>
    <row r="36" spans="2:10" s="1" customFormat="1" x14ac:dyDescent="0.3">
      <c r="B36" s="28" t="s">
        <v>214</v>
      </c>
      <c r="C36" s="6" t="s">
        <v>216</v>
      </c>
      <c r="D36" s="7"/>
      <c r="E36" s="70"/>
      <c r="F36" s="7"/>
      <c r="G36" s="8"/>
      <c r="H36" s="6"/>
      <c r="I36" s="8"/>
    </row>
    <row r="37" spans="2:10" s="1" customFormat="1" ht="43.2" customHeight="1" x14ac:dyDescent="0.3">
      <c r="B37" s="3" t="s">
        <v>52</v>
      </c>
      <c r="C37" s="3" t="s">
        <v>53</v>
      </c>
      <c r="D37" s="4" t="s">
        <v>54</v>
      </c>
      <c r="E37" s="4" t="s">
        <v>55</v>
      </c>
      <c r="F37" s="4" t="s">
        <v>56</v>
      </c>
      <c r="G37" s="4" t="s">
        <v>39</v>
      </c>
      <c r="H37" s="50" t="s">
        <v>40</v>
      </c>
      <c r="I37" s="4" t="s">
        <v>57</v>
      </c>
      <c r="J37" s="10"/>
    </row>
    <row r="38" spans="2:10" s="1" customFormat="1" ht="43.2" customHeight="1" x14ac:dyDescent="0.3">
      <c r="B38" s="3"/>
      <c r="C38" s="3" t="s">
        <v>58</v>
      </c>
      <c r="D38" s="4" t="s">
        <v>59</v>
      </c>
      <c r="E38" s="5" t="s">
        <v>60</v>
      </c>
      <c r="F38" s="4" t="s">
        <v>61</v>
      </c>
      <c r="G38" s="4" t="s">
        <v>39</v>
      </c>
      <c r="H38" s="50" t="s">
        <v>40</v>
      </c>
      <c r="I38" s="4" t="s">
        <v>62</v>
      </c>
    </row>
    <row r="39" spans="2:10" s="1" customFormat="1" ht="43.2" customHeight="1" x14ac:dyDescent="0.3">
      <c r="B39" s="3"/>
      <c r="C39" s="3" t="s">
        <v>63</v>
      </c>
      <c r="D39" s="4" t="s">
        <v>64</v>
      </c>
      <c r="E39" s="5" t="s">
        <v>65</v>
      </c>
      <c r="F39" s="4" t="s">
        <v>66</v>
      </c>
      <c r="G39" s="4" t="s">
        <v>39</v>
      </c>
      <c r="H39" s="50" t="s">
        <v>40</v>
      </c>
      <c r="I39" s="4" t="s">
        <v>67</v>
      </c>
    </row>
    <row r="40" spans="2:10" s="1" customFormat="1" ht="43.2" customHeight="1" x14ac:dyDescent="0.3">
      <c r="B40" s="3"/>
      <c r="C40" s="3" t="s">
        <v>68</v>
      </c>
      <c r="D40" s="4" t="s">
        <v>69</v>
      </c>
      <c r="E40" s="5" t="s">
        <v>70</v>
      </c>
      <c r="F40" s="4" t="s">
        <v>71</v>
      </c>
      <c r="G40" s="4" t="s">
        <v>39</v>
      </c>
      <c r="H40" s="50" t="s">
        <v>40</v>
      </c>
      <c r="I40" s="4" t="s">
        <v>72</v>
      </c>
    </row>
    <row r="41" spans="2:10" s="1" customFormat="1" ht="14.4" customHeight="1" x14ac:dyDescent="0.3">
      <c r="B41" s="28" t="s">
        <v>73</v>
      </c>
      <c r="C41" s="6" t="s">
        <v>217</v>
      </c>
      <c r="D41" s="7"/>
      <c r="E41" s="70"/>
      <c r="F41" s="7"/>
      <c r="G41" s="8"/>
      <c r="H41" s="6"/>
      <c r="I41" s="8"/>
    </row>
    <row r="42" spans="2:10" s="1" customFormat="1" ht="43.2" customHeight="1" x14ac:dyDescent="0.3">
      <c r="B42" s="3"/>
      <c r="C42" s="3" t="s">
        <v>74</v>
      </c>
      <c r="D42" s="4" t="s">
        <v>75</v>
      </c>
      <c r="E42" s="5" t="s">
        <v>76</v>
      </c>
      <c r="F42" s="4" t="s">
        <v>77</v>
      </c>
      <c r="G42" s="4" t="s">
        <v>39</v>
      </c>
      <c r="H42" s="50" t="s">
        <v>40</v>
      </c>
      <c r="I42" s="4" t="s">
        <v>78</v>
      </c>
    </row>
    <row r="43" spans="2:10" s="1" customFormat="1" ht="43.2" customHeight="1" x14ac:dyDescent="0.3">
      <c r="B43" s="3"/>
      <c r="C43" s="3" t="s">
        <v>79</v>
      </c>
      <c r="D43" s="4" t="s">
        <v>80</v>
      </c>
      <c r="E43" s="5" t="s">
        <v>81</v>
      </c>
      <c r="F43" s="4" t="s">
        <v>82</v>
      </c>
      <c r="G43" s="4" t="s">
        <v>39</v>
      </c>
      <c r="H43" s="50" t="s">
        <v>40</v>
      </c>
      <c r="I43" s="4" t="s">
        <v>83</v>
      </c>
    </row>
    <row r="44" spans="2:10" s="1" customFormat="1" ht="43.2" customHeight="1" x14ac:dyDescent="0.3">
      <c r="B44" s="3"/>
      <c r="C44" s="3" t="s">
        <v>84</v>
      </c>
      <c r="D44" s="4" t="s">
        <v>85</v>
      </c>
      <c r="E44" s="5" t="s">
        <v>86</v>
      </c>
      <c r="F44" s="4" t="s">
        <v>87</v>
      </c>
      <c r="G44" s="4" t="s">
        <v>39</v>
      </c>
      <c r="H44" s="50" t="s">
        <v>40</v>
      </c>
      <c r="I44" s="4" t="s">
        <v>88</v>
      </c>
    </row>
    <row r="45" spans="2:10" s="1" customFormat="1" ht="14.4" customHeight="1" x14ac:dyDescent="0.3">
      <c r="B45" s="28" t="s">
        <v>89</v>
      </c>
      <c r="C45" s="6" t="s">
        <v>218</v>
      </c>
      <c r="D45" s="7"/>
      <c r="E45" s="70"/>
      <c r="F45" s="7"/>
      <c r="G45" s="8"/>
      <c r="H45" s="6"/>
      <c r="I45" s="8"/>
    </row>
    <row r="46" spans="2:10" s="1" customFormat="1" ht="43.2" customHeight="1" x14ac:dyDescent="0.3">
      <c r="B46" s="3"/>
      <c r="C46" s="3" t="s">
        <v>90</v>
      </c>
      <c r="D46" s="4" t="s">
        <v>91</v>
      </c>
      <c r="E46" s="5" t="s">
        <v>92</v>
      </c>
      <c r="F46" s="4" t="s">
        <v>93</v>
      </c>
      <c r="G46" s="4" t="s">
        <v>39</v>
      </c>
      <c r="H46" s="50" t="s">
        <v>40</v>
      </c>
      <c r="I46" s="4" t="s">
        <v>94</v>
      </c>
    </row>
    <row r="47" spans="2:10" s="1" customFormat="1" ht="43.2" customHeight="1" x14ac:dyDescent="0.3">
      <c r="B47" s="3"/>
      <c r="C47" s="3" t="s">
        <v>95</v>
      </c>
      <c r="D47" s="4" t="s">
        <v>96</v>
      </c>
      <c r="E47" s="5" t="s">
        <v>97</v>
      </c>
      <c r="F47" s="4" t="s">
        <v>98</v>
      </c>
      <c r="G47" s="4" t="s">
        <v>39</v>
      </c>
      <c r="H47" s="50" t="s">
        <v>40</v>
      </c>
      <c r="I47" s="4" t="s">
        <v>99</v>
      </c>
    </row>
    <row r="48" spans="2:10" s="1" customFormat="1" ht="43.2" customHeight="1" x14ac:dyDescent="0.3">
      <c r="B48" s="3"/>
      <c r="C48" s="3" t="s">
        <v>100</v>
      </c>
      <c r="D48" s="4" t="s">
        <v>101</v>
      </c>
      <c r="E48" s="5" t="s">
        <v>102</v>
      </c>
      <c r="F48" s="4" t="s">
        <v>103</v>
      </c>
      <c r="G48" s="4" t="s">
        <v>39</v>
      </c>
      <c r="H48" s="50" t="s">
        <v>40</v>
      </c>
      <c r="I48" s="4" t="s">
        <v>104</v>
      </c>
    </row>
    <row r="49" spans="2:9" s="1" customFormat="1" ht="14.4" customHeight="1" x14ac:dyDescent="0.3">
      <c r="B49" s="28" t="s">
        <v>105</v>
      </c>
      <c r="C49" s="6" t="s">
        <v>219</v>
      </c>
      <c r="D49" s="7"/>
      <c r="E49" s="70"/>
      <c r="F49" s="7"/>
      <c r="G49" s="8"/>
      <c r="H49" s="6"/>
      <c r="I49" s="8"/>
    </row>
    <row r="50" spans="2:9" s="1" customFormat="1" ht="43.2" customHeight="1" x14ac:dyDescent="0.3">
      <c r="B50" s="3"/>
      <c r="C50" s="3" t="s">
        <v>106</v>
      </c>
      <c r="D50" s="4" t="s">
        <v>107</v>
      </c>
      <c r="E50" s="5" t="s">
        <v>108</v>
      </c>
      <c r="F50" s="4" t="s">
        <v>109</v>
      </c>
      <c r="G50" s="4" t="s">
        <v>39</v>
      </c>
      <c r="H50" s="50" t="s">
        <v>40</v>
      </c>
      <c r="I50" s="4" t="s">
        <v>110</v>
      </c>
    </row>
    <row r="51" spans="2:9" s="1" customFormat="1" ht="43.2" customHeight="1" x14ac:dyDescent="0.3">
      <c r="B51" s="3"/>
      <c r="C51" s="3" t="s">
        <v>111</v>
      </c>
      <c r="D51" s="4" t="s">
        <v>112</v>
      </c>
      <c r="E51" s="4" t="s">
        <v>113</v>
      </c>
      <c r="F51" s="4" t="s">
        <v>114</v>
      </c>
      <c r="G51" s="4" t="s">
        <v>39</v>
      </c>
      <c r="H51" s="50" t="s">
        <v>40</v>
      </c>
      <c r="I51" s="4" t="s">
        <v>115</v>
      </c>
    </row>
    <row r="52" spans="2:9" s="1" customFormat="1" ht="14.4" customHeight="1" x14ac:dyDescent="0.3">
      <c r="B52" s="28" t="s">
        <v>116</v>
      </c>
      <c r="C52" s="6" t="s">
        <v>220</v>
      </c>
      <c r="D52" s="7"/>
      <c r="E52" s="7"/>
      <c r="F52" s="7"/>
      <c r="G52" s="8"/>
      <c r="H52" s="6"/>
      <c r="I52" s="8"/>
    </row>
    <row r="53" spans="2:9" s="1" customFormat="1" ht="43.2" customHeight="1" x14ac:dyDescent="0.3">
      <c r="B53" s="3"/>
      <c r="C53" s="3" t="s">
        <v>117</v>
      </c>
      <c r="D53" s="4" t="s">
        <v>118</v>
      </c>
      <c r="E53" s="4" t="s">
        <v>119</v>
      </c>
      <c r="F53" s="4" t="s">
        <v>120</v>
      </c>
      <c r="G53" s="4" t="s">
        <v>39</v>
      </c>
      <c r="H53" s="50" t="s">
        <v>40</v>
      </c>
      <c r="I53" s="4" t="s">
        <v>121</v>
      </c>
    </row>
    <row r="54" spans="2:9" s="1" customFormat="1" ht="43.2" customHeight="1" x14ac:dyDescent="0.3">
      <c r="B54" s="3"/>
      <c r="C54" s="3" t="s">
        <v>122</v>
      </c>
      <c r="D54" s="4" t="s">
        <v>123</v>
      </c>
      <c r="E54" s="4" t="s">
        <v>124</v>
      </c>
      <c r="F54" s="4" t="s">
        <v>125</v>
      </c>
      <c r="G54" s="4" t="s">
        <v>39</v>
      </c>
      <c r="H54" s="50" t="s">
        <v>40</v>
      </c>
      <c r="I54" s="4" t="s">
        <v>126</v>
      </c>
    </row>
    <row r="55" spans="2:9" s="1" customFormat="1" ht="14.4" customHeight="1" x14ac:dyDescent="0.3">
      <c r="B55" s="28" t="s">
        <v>127</v>
      </c>
      <c r="C55" s="6" t="s">
        <v>221</v>
      </c>
      <c r="D55" s="7"/>
      <c r="E55" s="7"/>
      <c r="F55" s="7"/>
      <c r="G55" s="8"/>
      <c r="H55" s="6"/>
      <c r="I55" s="8"/>
    </row>
    <row r="56" spans="2:9" s="1" customFormat="1" ht="43.2" customHeight="1" x14ac:dyDescent="0.3">
      <c r="B56" s="3"/>
      <c r="C56" s="3" t="s">
        <v>128</v>
      </c>
      <c r="D56" s="4" t="s">
        <v>129</v>
      </c>
      <c r="E56" s="4" t="s">
        <v>130</v>
      </c>
      <c r="F56" s="4" t="s">
        <v>131</v>
      </c>
      <c r="G56" s="4" t="s">
        <v>39</v>
      </c>
      <c r="H56" s="50" t="s">
        <v>40</v>
      </c>
      <c r="I56" s="4" t="s">
        <v>132</v>
      </c>
    </row>
    <row r="57" spans="2:9" s="1" customFormat="1" ht="43.2" customHeight="1" x14ac:dyDescent="0.3">
      <c r="B57" s="3"/>
      <c r="C57" s="3" t="s">
        <v>133</v>
      </c>
      <c r="D57" s="4" t="s">
        <v>134</v>
      </c>
      <c r="E57" s="4" t="s">
        <v>135</v>
      </c>
      <c r="F57" s="4" t="s">
        <v>136</v>
      </c>
      <c r="G57" s="4" t="s">
        <v>39</v>
      </c>
      <c r="H57" s="50" t="s">
        <v>40</v>
      </c>
      <c r="I57" s="4" t="s">
        <v>137</v>
      </c>
    </row>
    <row r="58" spans="2:9" ht="43.2" customHeight="1" x14ac:dyDescent="0.3">
      <c r="B58" s="3"/>
      <c r="C58" s="3" t="s">
        <v>138</v>
      </c>
      <c r="D58" s="4" t="s">
        <v>139</v>
      </c>
      <c r="E58" s="4" t="s">
        <v>140</v>
      </c>
      <c r="F58" s="4" t="s">
        <v>141</v>
      </c>
      <c r="G58" s="4" t="s">
        <v>39</v>
      </c>
      <c r="H58" s="50" t="s">
        <v>40</v>
      </c>
      <c r="I58" s="4" t="s">
        <v>142</v>
      </c>
    </row>
    <row r="59" spans="2:9" ht="14.4" customHeight="1" x14ac:dyDescent="0.3">
      <c r="B59" s="28" t="s">
        <v>143</v>
      </c>
      <c r="C59" s="6" t="s">
        <v>144</v>
      </c>
      <c r="D59" s="7"/>
      <c r="E59" s="7"/>
      <c r="F59" s="7"/>
      <c r="G59" s="8"/>
      <c r="H59" s="6"/>
      <c r="I59" s="8"/>
    </row>
    <row r="60" spans="2:9" ht="43.2" customHeight="1" x14ac:dyDescent="0.3">
      <c r="B60" s="3"/>
      <c r="C60" s="3" t="s">
        <v>145</v>
      </c>
      <c r="D60" s="4" t="s">
        <v>146</v>
      </c>
      <c r="E60" s="4" t="s">
        <v>147</v>
      </c>
      <c r="F60" s="4" t="s">
        <v>148</v>
      </c>
      <c r="G60" s="4" t="s">
        <v>39</v>
      </c>
      <c r="H60" s="50" t="s">
        <v>40</v>
      </c>
      <c r="I60" s="4" t="s">
        <v>149</v>
      </c>
    </row>
    <row r="61" spans="2:9" s="13" customFormat="1" ht="43.2" customHeight="1" x14ac:dyDescent="0.3">
      <c r="B61" s="3"/>
      <c r="C61" s="3" t="s">
        <v>150</v>
      </c>
      <c r="D61" s="4" t="s">
        <v>151</v>
      </c>
      <c r="E61" s="4" t="s">
        <v>152</v>
      </c>
      <c r="F61" s="4" t="s">
        <v>153</v>
      </c>
      <c r="G61" s="4" t="s">
        <v>39</v>
      </c>
      <c r="H61" s="50" t="s">
        <v>40</v>
      </c>
      <c r="I61" s="4" t="s">
        <v>154</v>
      </c>
    </row>
    <row r="62" spans="2:9" ht="43.2" customHeight="1" x14ac:dyDescent="0.3">
      <c r="B62" s="3"/>
      <c r="C62" s="3" t="s">
        <v>155</v>
      </c>
      <c r="D62" s="4" t="s">
        <v>156</v>
      </c>
      <c r="E62" s="4" t="s">
        <v>157</v>
      </c>
      <c r="F62" s="4" t="s">
        <v>158</v>
      </c>
      <c r="G62" s="4" t="s">
        <v>39</v>
      </c>
      <c r="H62" s="50" t="s">
        <v>159</v>
      </c>
      <c r="I62" s="4" t="s">
        <v>160</v>
      </c>
    </row>
    <row r="63" spans="2:9" ht="43.2" customHeight="1" x14ac:dyDescent="0.3">
      <c r="B63" s="3"/>
      <c r="C63" s="3" t="s">
        <v>161</v>
      </c>
      <c r="D63" s="4" t="s">
        <v>162</v>
      </c>
      <c r="E63" s="4" t="s">
        <v>163</v>
      </c>
      <c r="F63" s="4" t="s">
        <v>164</v>
      </c>
      <c r="G63" s="4" t="s">
        <v>39</v>
      </c>
      <c r="H63" s="50" t="s">
        <v>159</v>
      </c>
      <c r="I63" s="4" t="s">
        <v>165</v>
      </c>
    </row>
    <row r="64" spans="2:9" ht="43.2" customHeight="1" x14ac:dyDescent="0.3">
      <c r="B64" s="3"/>
      <c r="C64" s="3" t="s">
        <v>166</v>
      </c>
      <c r="D64" s="4" t="s">
        <v>167</v>
      </c>
      <c r="E64" s="4" t="s">
        <v>168</v>
      </c>
      <c r="F64" s="4" t="s">
        <v>169</v>
      </c>
      <c r="G64" s="4" t="s">
        <v>39</v>
      </c>
      <c r="H64" s="50" t="s">
        <v>159</v>
      </c>
      <c r="I64" s="4" t="s">
        <v>170</v>
      </c>
    </row>
    <row r="65" spans="2:9" ht="43.2" customHeight="1" x14ac:dyDescent="0.3">
      <c r="B65" s="3"/>
      <c r="C65" s="3" t="s">
        <v>171</v>
      </c>
      <c r="D65" s="4" t="s">
        <v>172</v>
      </c>
      <c r="E65" s="4" t="s">
        <v>173</v>
      </c>
      <c r="F65" s="4" t="s">
        <v>174</v>
      </c>
      <c r="G65" s="4" t="s">
        <v>39</v>
      </c>
      <c r="H65" s="50" t="s">
        <v>159</v>
      </c>
      <c r="I65" s="4" t="s">
        <v>175</v>
      </c>
    </row>
    <row r="66" spans="2:9" ht="14.4" customHeight="1" x14ac:dyDescent="0.3">
      <c r="B66" s="28" t="s">
        <v>176</v>
      </c>
      <c r="C66" s="6" t="s">
        <v>222</v>
      </c>
      <c r="D66" s="7"/>
      <c r="E66" s="7"/>
      <c r="F66" s="7"/>
      <c r="G66" s="8"/>
      <c r="H66" s="6"/>
      <c r="I66" s="8"/>
    </row>
    <row r="67" spans="2:9" ht="43.2" customHeight="1" x14ac:dyDescent="0.3">
      <c r="B67" s="3"/>
      <c r="C67" s="3" t="s">
        <v>177</v>
      </c>
      <c r="D67" s="4" t="s">
        <v>178</v>
      </c>
      <c r="E67" s="4" t="s">
        <v>179</v>
      </c>
      <c r="F67" s="4" t="s">
        <v>180</v>
      </c>
      <c r="G67" s="4" t="s">
        <v>39</v>
      </c>
      <c r="H67" s="50" t="s">
        <v>159</v>
      </c>
      <c r="I67" s="4" t="s">
        <v>181</v>
      </c>
    </row>
    <row r="68" spans="2:9" ht="43.2" customHeight="1" x14ac:dyDescent="0.3">
      <c r="B68" s="3"/>
      <c r="C68" s="3" t="s">
        <v>182</v>
      </c>
      <c r="D68" s="4" t="s">
        <v>183</v>
      </c>
      <c r="E68" s="4" t="s">
        <v>179</v>
      </c>
      <c r="F68" s="4" t="s">
        <v>180</v>
      </c>
      <c r="G68" s="4" t="s">
        <v>39</v>
      </c>
      <c r="H68" s="50" t="s">
        <v>159</v>
      </c>
      <c r="I68" s="4" t="s">
        <v>181</v>
      </c>
    </row>
    <row r="69" spans="2:9" ht="43.2" customHeight="1" x14ac:dyDescent="0.3">
      <c r="B69" s="3"/>
      <c r="C69" s="3" t="s">
        <v>184</v>
      </c>
      <c r="D69" s="4" t="s">
        <v>185</v>
      </c>
      <c r="E69" s="4" t="s">
        <v>179</v>
      </c>
      <c r="F69" s="4" t="s">
        <v>180</v>
      </c>
      <c r="G69" s="4" t="s">
        <v>39</v>
      </c>
      <c r="H69" s="50" t="s">
        <v>159</v>
      </c>
      <c r="I69" s="4" t="s">
        <v>181</v>
      </c>
    </row>
    <row r="70" spans="2:9" ht="43.2" customHeight="1" x14ac:dyDescent="0.3">
      <c r="B70" s="3"/>
      <c r="C70" s="3" t="s">
        <v>186</v>
      </c>
      <c r="D70" s="4" t="s">
        <v>187</v>
      </c>
      <c r="E70" s="4" t="s">
        <v>179</v>
      </c>
      <c r="F70" s="4" t="s">
        <v>180</v>
      </c>
      <c r="G70" s="4" t="s">
        <v>39</v>
      </c>
      <c r="H70" s="50" t="s">
        <v>159</v>
      </c>
      <c r="I70" s="4" t="s">
        <v>181</v>
      </c>
    </row>
    <row r="71" spans="2:9" ht="43.2" customHeight="1" x14ac:dyDescent="0.3">
      <c r="B71" s="3"/>
      <c r="C71" s="3" t="s">
        <v>188</v>
      </c>
      <c r="D71" s="4" t="s">
        <v>189</v>
      </c>
      <c r="E71" s="4" t="s">
        <v>179</v>
      </c>
      <c r="F71" s="4" t="s">
        <v>180</v>
      </c>
      <c r="G71" s="4" t="s">
        <v>39</v>
      </c>
      <c r="H71" s="50" t="s">
        <v>159</v>
      </c>
      <c r="I71" s="4" t="s">
        <v>181</v>
      </c>
    </row>
    <row r="72" spans="2:9" ht="14.4" customHeight="1" x14ac:dyDescent="0.3">
      <c r="B72" s="28" t="s">
        <v>190</v>
      </c>
      <c r="C72" s="6" t="s">
        <v>223</v>
      </c>
      <c r="D72" s="7"/>
      <c r="E72" s="7"/>
      <c r="F72" s="7"/>
      <c r="G72" s="8"/>
      <c r="H72" s="6"/>
      <c r="I72" s="8"/>
    </row>
    <row r="73" spans="2:9" ht="43.2" customHeight="1" x14ac:dyDescent="0.3">
      <c r="B73" s="3"/>
      <c r="C73" s="3" t="s">
        <v>191</v>
      </c>
      <c r="D73" s="4" t="s">
        <v>192</v>
      </c>
      <c r="E73" s="4" t="s">
        <v>193</v>
      </c>
      <c r="F73" s="4" t="s">
        <v>194</v>
      </c>
      <c r="G73" s="4" t="s">
        <v>39</v>
      </c>
      <c r="H73" s="50" t="s">
        <v>159</v>
      </c>
      <c r="I73" s="4" t="s">
        <v>195</v>
      </c>
    </row>
    <row r="74" spans="2:9" x14ac:dyDescent="0.3">
      <c r="D74" s="36"/>
      <c r="E74" s="37"/>
      <c r="F74" s="36"/>
      <c r="G74" s="36"/>
      <c r="I74" s="36"/>
    </row>
    <row r="75" spans="2:9" ht="14.4" customHeight="1" x14ac:dyDescent="0.3">
      <c r="B75" s="11" t="s">
        <v>196</v>
      </c>
      <c r="D75" s="36"/>
      <c r="E75" s="37"/>
      <c r="F75" s="36"/>
      <c r="G75" s="36"/>
      <c r="I75" s="36"/>
    </row>
    <row r="76" spans="2:9" x14ac:dyDescent="0.3">
      <c r="D76" s="36"/>
      <c r="E76" s="37"/>
      <c r="F76" s="36"/>
      <c r="G76" s="36"/>
      <c r="I76" s="36"/>
    </row>
    <row r="77" spans="2:9" x14ac:dyDescent="0.3">
      <c r="B77" s="46" t="s">
        <v>40</v>
      </c>
      <c r="C77" s="44">
        <f>COUNTIF(H32:H73,"Passed")</f>
        <v>22</v>
      </c>
      <c r="D77" s="39"/>
      <c r="E77" s="40"/>
      <c r="F77" s="39"/>
      <c r="G77" s="39"/>
      <c r="H77" s="38"/>
      <c r="I77" s="55"/>
    </row>
    <row r="78" spans="2:9" x14ac:dyDescent="0.3">
      <c r="B78" s="47" t="s">
        <v>197</v>
      </c>
      <c r="C78" s="13">
        <f>COUNTIF(H32:H73,"Bug")</f>
        <v>0</v>
      </c>
      <c r="D78" s="36"/>
      <c r="E78" s="37"/>
      <c r="F78" s="36"/>
      <c r="G78" s="36"/>
      <c r="I78" s="56"/>
    </row>
    <row r="79" spans="2:9" ht="14.4" customHeight="1" x14ac:dyDescent="0.3">
      <c r="B79" s="48" t="s">
        <v>198</v>
      </c>
      <c r="C79" s="13">
        <f>COUNTIF(H32:H73,"Enhancement")</f>
        <v>0</v>
      </c>
      <c r="D79" s="36"/>
      <c r="E79" s="37"/>
      <c r="F79" s="36"/>
      <c r="G79" s="36"/>
      <c r="I79" s="56"/>
    </row>
    <row r="80" spans="2:9" x14ac:dyDescent="0.3">
      <c r="B80" s="48" t="s">
        <v>159</v>
      </c>
      <c r="C80" s="13">
        <f>COUNTIF(H32:H73,"Pending")</f>
        <v>10</v>
      </c>
      <c r="D80" s="36"/>
      <c r="E80" s="36"/>
      <c r="F80" s="36"/>
      <c r="G80" s="36"/>
      <c r="I80" s="56"/>
    </row>
    <row r="81" spans="2:9" x14ac:dyDescent="0.3">
      <c r="B81" s="49" t="s">
        <v>199</v>
      </c>
      <c r="C81" s="45">
        <f>COUNTA(H32:H73)</f>
        <v>32</v>
      </c>
      <c r="D81" s="42"/>
      <c r="E81" s="43"/>
      <c r="F81" s="42"/>
      <c r="G81" s="42"/>
      <c r="H81" s="41"/>
      <c r="I81" s="57"/>
    </row>
    <row r="83" spans="2:9" x14ac:dyDescent="0.3">
      <c r="B83" s="12" t="s">
        <v>200</v>
      </c>
    </row>
    <row r="85" spans="2:9" x14ac:dyDescent="0.3">
      <c r="B85" s="17" t="s">
        <v>201</v>
      </c>
      <c r="C85" s="19"/>
      <c r="D85" s="2"/>
      <c r="E85" s="2" t="s">
        <v>202</v>
      </c>
      <c r="F85" s="2"/>
      <c r="G85" s="63"/>
      <c r="H85" s="20"/>
      <c r="I85" s="52" t="s">
        <v>203</v>
      </c>
    </row>
    <row r="86" spans="2:9" ht="14.4" customHeight="1" x14ac:dyDescent="0.3">
      <c r="B86" s="18"/>
      <c r="C86" s="16"/>
      <c r="D86" s="16"/>
      <c r="E86" s="16"/>
      <c r="F86" s="16"/>
      <c r="G86" s="64"/>
      <c r="H86" s="16"/>
      <c r="I86" s="58"/>
    </row>
    <row r="87" spans="2:9" x14ac:dyDescent="0.3">
      <c r="B87" s="18"/>
      <c r="C87" s="16"/>
      <c r="D87" s="16"/>
      <c r="E87" s="16"/>
      <c r="F87" s="16"/>
      <c r="G87" s="64"/>
      <c r="H87" s="16"/>
      <c r="I87" s="58"/>
    </row>
    <row r="88" spans="2:9" x14ac:dyDescent="0.3">
      <c r="B88" s="18"/>
      <c r="C88" s="16"/>
      <c r="D88" s="16"/>
      <c r="E88" s="16"/>
      <c r="F88" s="16"/>
      <c r="G88" s="64"/>
      <c r="H88" s="16"/>
      <c r="I88" s="58"/>
    </row>
    <row r="89" spans="2:9" x14ac:dyDescent="0.3">
      <c r="B89" s="18"/>
      <c r="C89" s="16"/>
      <c r="D89" s="16"/>
      <c r="E89" s="16"/>
      <c r="F89" s="16"/>
      <c r="G89" s="64"/>
      <c r="H89" s="16"/>
      <c r="I89" s="58"/>
    </row>
    <row r="90" spans="2:9" x14ac:dyDescent="0.3">
      <c r="B90" s="18"/>
      <c r="C90" s="16"/>
      <c r="D90" s="16"/>
      <c r="E90" s="16"/>
      <c r="F90" s="16"/>
      <c r="G90" s="64"/>
      <c r="H90" s="16"/>
      <c r="I90" s="58"/>
    </row>
    <row r="91" spans="2:9" x14ac:dyDescent="0.3">
      <c r="B91" s="18"/>
      <c r="C91" s="16"/>
      <c r="D91" s="16"/>
      <c r="E91" s="16"/>
      <c r="F91" s="16"/>
      <c r="G91" s="64"/>
      <c r="H91" s="16"/>
      <c r="I91" s="58"/>
    </row>
    <row r="92" spans="2:9" x14ac:dyDescent="0.3">
      <c r="B92" s="18"/>
      <c r="C92" s="16"/>
      <c r="D92" s="16"/>
      <c r="E92" s="16"/>
      <c r="F92" s="16"/>
      <c r="G92" s="64"/>
      <c r="H92" s="16"/>
      <c r="I92" s="58"/>
    </row>
    <row r="93" spans="2:9" x14ac:dyDescent="0.3">
      <c r="B93" s="18"/>
      <c r="C93" s="16"/>
      <c r="D93" s="16"/>
      <c r="E93" s="16"/>
      <c r="F93" s="16"/>
      <c r="G93" s="64"/>
      <c r="H93" s="16"/>
      <c r="I93" s="58"/>
    </row>
    <row r="94" spans="2:9" x14ac:dyDescent="0.3">
      <c r="B94" s="18"/>
      <c r="C94" s="16"/>
      <c r="D94" s="16"/>
      <c r="E94" s="16"/>
      <c r="F94" s="16"/>
      <c r="G94" s="64"/>
      <c r="H94" s="16"/>
      <c r="I94" s="58"/>
    </row>
    <row r="95" spans="2:9" x14ac:dyDescent="0.3">
      <c r="B95" s="18"/>
      <c r="C95" s="16"/>
      <c r="D95" s="16"/>
      <c r="E95" s="16"/>
      <c r="F95" s="16"/>
      <c r="G95" s="64"/>
      <c r="H95" s="16"/>
      <c r="I95" s="58"/>
    </row>
    <row r="98" spans="2:9" x14ac:dyDescent="0.3">
      <c r="B98" s="22"/>
      <c r="C98" s="14"/>
      <c r="D98" s="14"/>
      <c r="E98" s="14"/>
      <c r="F98" s="14"/>
      <c r="G98" s="66"/>
      <c r="H98" s="35" t="s">
        <v>204</v>
      </c>
      <c r="I98" s="59"/>
    </row>
    <row r="99" spans="2:9" x14ac:dyDescent="0.3">
      <c r="B99" s="24"/>
      <c r="I99" s="60"/>
    </row>
    <row r="100" spans="2:9" x14ac:dyDescent="0.3">
      <c r="B100" s="24"/>
      <c r="F100" s="12" t="s">
        <v>205</v>
      </c>
      <c r="I100" s="60"/>
    </row>
    <row r="101" spans="2:9" x14ac:dyDescent="0.3">
      <c r="B101" s="24"/>
      <c r="I101" s="60"/>
    </row>
    <row r="102" spans="2:9" x14ac:dyDescent="0.3">
      <c r="B102" s="24"/>
      <c r="I102" s="60"/>
    </row>
    <row r="103" spans="2:9" x14ac:dyDescent="0.3">
      <c r="B103" s="23"/>
      <c r="C103" s="21"/>
      <c r="D103" s="26" t="s">
        <v>206</v>
      </c>
      <c r="E103" s="21"/>
      <c r="F103" s="21"/>
      <c r="G103" s="67" t="s">
        <v>207</v>
      </c>
      <c r="H103" s="21"/>
      <c r="I103" s="61"/>
    </row>
    <row r="104" spans="2:9" x14ac:dyDescent="0.3">
      <c r="B104" s="24"/>
      <c r="D104" s="12" t="s">
        <v>208</v>
      </c>
      <c r="G104" s="68" t="s">
        <v>209</v>
      </c>
      <c r="I104" s="60"/>
    </row>
    <row r="105" spans="2:9" x14ac:dyDescent="0.3">
      <c r="B105" s="24"/>
      <c r="D105" s="12"/>
      <c r="G105" s="68"/>
      <c r="I105" s="60"/>
    </row>
    <row r="106" spans="2:9" x14ac:dyDescent="0.3">
      <c r="B106" s="24"/>
      <c r="D106" s="12"/>
      <c r="G106" s="68"/>
      <c r="I106" s="60"/>
    </row>
    <row r="107" spans="2:9" x14ac:dyDescent="0.3">
      <c r="B107" s="24"/>
      <c r="D107" s="12"/>
      <c r="G107" s="68"/>
      <c r="I107" s="60"/>
    </row>
    <row r="108" spans="2:9" x14ac:dyDescent="0.3">
      <c r="B108" s="24"/>
      <c r="D108" s="12"/>
      <c r="G108" s="68"/>
      <c r="I108" s="60"/>
    </row>
    <row r="109" spans="2:9" x14ac:dyDescent="0.3">
      <c r="B109" s="24"/>
      <c r="D109" s="12"/>
      <c r="G109" s="68"/>
      <c r="I109" s="60"/>
    </row>
    <row r="110" spans="2:9" x14ac:dyDescent="0.3">
      <c r="B110" s="24"/>
      <c r="D110" s="12" t="s">
        <v>210</v>
      </c>
      <c r="G110" s="68" t="s">
        <v>210</v>
      </c>
      <c r="I110" s="60"/>
    </row>
    <row r="111" spans="2:9" x14ac:dyDescent="0.3">
      <c r="B111" s="24"/>
      <c r="D111" s="12" t="s">
        <v>211</v>
      </c>
      <c r="G111" s="68" t="s">
        <v>212</v>
      </c>
      <c r="I111" s="60"/>
    </row>
    <row r="112" spans="2:9" x14ac:dyDescent="0.3">
      <c r="B112" s="24"/>
      <c r="I112" s="60"/>
    </row>
    <row r="113" spans="2:9" x14ac:dyDescent="0.3">
      <c r="B113" s="25"/>
      <c r="C113" s="15"/>
      <c r="D113" s="15"/>
      <c r="E113" s="15"/>
      <c r="F113" s="15"/>
      <c r="G113" s="69"/>
      <c r="H113" s="15"/>
      <c r="I113" s="62"/>
    </row>
  </sheetData>
  <conditionalFormatting sqref="H33:H36">
    <cfRule type="cellIs" dxfId="5" priority="4" operator="equal">
      <formula>"Enhancement"</formula>
    </cfRule>
    <cfRule type="cellIs" dxfId="4" priority="5" operator="equal">
      <formula>"Bug"</formula>
    </cfRule>
    <cfRule type="cellIs" dxfId="3" priority="6" operator="equal">
      <formula>"Passed"</formula>
    </cfRule>
  </conditionalFormatting>
  <conditionalFormatting sqref="H38:H40">
    <cfRule type="cellIs" dxfId="2" priority="1" operator="equal">
      <formula>"Enhancement"</formula>
    </cfRule>
    <cfRule type="cellIs" dxfId="1" priority="2" operator="equal">
      <formula>"Bug"</formula>
    </cfRule>
    <cfRule type="cellIs" dxfId="0" priority="3" operator="equal">
      <formula>"Passed"</formula>
    </cfRule>
  </conditionalFormatting>
  <dataValidations count="1">
    <dataValidation type="list" allowBlank="1" showInputMessage="1" showErrorMessage="1" sqref="H33:H36 H38:H57" xr:uid="{00000000-0002-0000-0000-000000000000}">
      <formula1>"Passed, Bug, Enhancement"</formula1>
    </dataValidation>
  </dataValidations>
  <pageMargins left="0.25" right="0.25" top="0.75" bottom="0.75" header="0.3" footer="0.3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Interactive</dc:creator>
  <cp:lastModifiedBy>Dael N0</cp:lastModifiedBy>
  <dcterms:created xsi:type="dcterms:W3CDTF">2024-01-21T00:03:19Z</dcterms:created>
  <dcterms:modified xsi:type="dcterms:W3CDTF">2026-06-28T17:32:44Z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