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A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<sst xmlns="http://schemas.openxmlformats.org/spreadsheetml/2006/main" count="239" uniqueCount="183">
  <si>
    <t xml:space="preserve">BERITA ACARA</t>
  </si>
  <si>
    <t xml:space="preserve">Rapat Pembahasan</t>
  </si>
  <si>
    <t xml:space="preserve">("User Acceptance Testing")</t>
  </si>
  <si>
    <t xml:space="preserve">Nama Proyek</t>
  </si>
  <si>
    <t xml:space="preserve">: Mobile JKN Redesign &amp; Real-Time Queue System</t>
  </si>
  <si>
    <t xml:space="preserve">Perjanjian Pokok</t>
  </si>
  <si>
    <t xml:space="preserve">: JMRO/UAT/06/2026</t>
  </si>
  <si>
    <t xml:space="preserve">Perihal</t>
  </si>
  <si>
    <t xml:space="preserve">: User Acceptance Testing (UAT)</t>
  </si>
  <si>
    <t xml:space="preserve">Waktu Pelaksanaan</t>
  </si>
  <si>
    <t xml:space="preserve">: 08.00 – 12.00, 30 Juni 2026</t>
  </si>
  <si>
    <t xml:space="preserve">Tempat</t>
  </si>
  <si>
    <t xml:space="preserve">: Ruang Lab Komputer / Google Meet</t>
  </si>
  <si>
    <t xml:space="preserve">DAFTAR HADIR</t>
  </si>
  <si>
    <t xml:space="preserve">Nama</t>
  </si>
  <si>
    <t xml:space="preserve">Institusi</t>
  </si>
  <si>
    <t xml:space="preserve">                                                   Jabatan</t>
  </si>
  <si>
    <t xml:space="preserve">Anggota 1 (nama)</t>
  </si>
  <si>
    <t xml:space="preserve">Tim SE — Mobile JKN</t>
  </si>
  <si>
    <t xml:space="preserve">Project Manager / Backend Dev</t>
  </si>
  <si>
    <t xml:space="preserve">Anggota 2 (nama)</t>
  </si>
  <si>
    <t xml:space="preserve">Android Developer</t>
  </si>
  <si>
    <t xml:space="preserve">Anggota 3 (nama)</t>
  </si>
  <si>
    <t xml:space="preserve">Anggota 4 (nama)</t>
  </si>
  <si>
    <t xml:space="preserve">QA / Tester</t>
  </si>
  <si>
    <t xml:space="preserve">Dosen Pengampu</t>
  </si>
  <si>
    <t xml:space="preserve">Universitas</t>
  </si>
  <si>
    <t xml:space="preserve">Evaluator / Penguji</t>
  </si>
  <si>
    <t xml:space="preserve">UAT</t>
  </si>
  <si>
    <t xml:space="preserve">a. Rundown</t>
  </si>
  <si>
    <t xml:space="preserve">08.00 - 08.15</t>
  </si>
  <si>
    <t xml:space="preserve">: Pembukaan &amp; Presentasi Singkat Proyek</t>
  </si>
  <si>
    <t xml:space="preserve">08.15 - 08.30</t>
  </si>
  <si>
    <t xml:space="preserve">: Demo Alur Real-Time Queue (Operator → Pasien)</t>
  </si>
  <si>
    <t xml:space="preserve">08.30 - 10.00</t>
  </si>
  <si>
    <t xml:space="preserve">: UAT per Fitur (Skenario terstruktur)</t>
  </si>
  <si>
    <t xml:space="preserve">10.00 - 11.30</t>
  </si>
  <si>
    <t xml:space="preserve">: Pengisian Form UAT &amp; Diskusi</t>
  </si>
  <si>
    <t xml:space="preserve">b. Notes &amp; Agreement</t>
  </si>
  <si>
    <t xml:space="preserve">11.30 - 12.00</t>
  </si>
  <si>
    <t xml:space="preserve">: Penyusunan Catatan, Kesepakatan &amp; Penutup</t>
  </si>
  <si>
    <t xml:space="preserve">PEKERJAAN/ FITUR YANG DIUJI :</t>
  </si>
  <si>
    <t xml:space="preserve">Kode US</t>
  </si>
  <si>
    <t xml:space="preserve">TCID</t>
  </si>
  <si>
    <t xml:space="preserve">Test Cases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</si>
  <si>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</si>
  <si>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</si>
  <si>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</si>
  <si>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</si>
  <si>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Catatan</t>
  </si>
  <si>
    <t xml:space="preserve">JMRO-0001</t>
  </si>
  <si>
    <t xml:space="preserve">Sebagai operator, saya bisa memanggil nomor antrean berikutnya (STORY 2.2)</t>
  </si>
  <si>
    <t xml:space="preserve">TC0001</t>
  </si>
  <si>
    <t xml:space="preserve">Operator menekan tombol NEXT pada kondisi antrean normal</t>
  </si>
  <si>
    <t xml:space="preserve">1. Buka Operator Queue Screen
2. Pastikan currentNumber = A-005
3. Tekan tombol NEXT</t>
  </si>
  <si>
    <t xml:space="preserve">currentNumber berubah menjadi A-006 di layar operator dalam &lt; 3 detik</t>
  </si>
  <si>
    <t xml:space="preserve">-</t>
  </si>
  <si>
    <t xml:space="preserve">Passed</t>
  </si>
  <si>
    <t xml:space="preserve">TC0002</t>
  </si>
  <si>
    <t xml:space="preserve">Nomor antrean di layar pasien ikut diperbarui setelah operator tekan NEXT</t>
  </si>
  <si>
    <t xml:space="preserve">1. Buka Patient Queue Screen di perangkat kedua
2. Operator tekan NEXT
3. Amati perubahan pada Patient Screen</t>
  </si>
  <si>
    <t xml:space="preserve">Current Number di Patient Screen berubah mengikuti operator secara otomatis tanpa refresh manual</t>
  </si>
  <si>
    <t xml:space="preserve">TC0003</t>
  </si>
  <si>
    <t xml:space="preserve">Tombol NEXT tidak tersedia pada layar pasien</t>
  </si>
  <si>
    <t xml:space="preserve">1. Login sebagai pasien
2. Buka Patient Queue Screen
3. Amati apakah tombol NEXT tersedia</t>
  </si>
  <si>
    <t xml:space="preserve">Tombol NEXT tidak muncul di layar pasien; hanya tersedia di Operator Screen</t>
  </si>
  <si>
    <t xml:space="preserve">JMRO-0002</t>
  </si>
  <si>
    <t xml:space="preserve">Sebagai pasien, saya bisa melihat Live Queue Indicator secara real-time (STORY 2.3)</t>
  </si>
  <si>
    <t xml:space="preserve">Login dengan valid credential</t>
  </si>
  <si>
    <t xml:space="preserve">1. Menuju ke halaman login
2. Inputkan data credential
3. Klik button login</t>
  </si>
  <si>
    <t xml:space="preserve">Berhasil login, dapat mengakses halaman home</t>
  </si>
  <si>
    <t xml:space="preserve">As Expeted</t>
  </si>
  <si>
    <t xml:space="preserve">ABC-0002</t>
  </si>
  <si>
    <t xml:space="preserve">TC0004</t>
  </si>
  <si>
    <t xml:space="preserve">Live Queue Indicator menampilkan tiga nilai sekaligus</t>
  </si>
  <si>
    <t xml:space="preserve">1. Login sebagai pasien dengan My Ticket = A-010
2. Buka Patient Queue Screen
3. Amati tampilan indikator</t>
  </si>
  <si>
    <t xml:space="preserve">Layar menampilkan: My Ticket (A-010), Current Number (nomor aktif), dan Next Number (nomor berikutnya) secara bersamaan</t>
  </si>
  <si>
    <t xml:space="preserve">TC0005</t>
  </si>
  <si>
    <t xml:space="preserve">Live Queue Indicator diperbarui otomatis ketika operator tekan NEXT</t>
  </si>
  <si>
    <t xml:space="preserve">1. Pasien membuka Patient Screen
2. Operator tekan NEXT beberapa kali
3. Amati apakah nilai berubah tanpa refresh</t>
  </si>
  <si>
    <t xml:space="preserve">Current Number dan Next Number berubah secara otomatis tanpa aksi apapun dari pasien</t>
  </si>
  <si>
    <t xml:space="preserve">TC0006</t>
  </si>
  <si>
    <t xml:space="preserve">Connection State Banner menampilkan status Connected saat WebSocket aktif</t>
  </si>
  <si>
    <t xml:space="preserve">1. Buka Patient Screen dengan koneksi internet stabil
2. Amati banner koneksi di bagian atas layar</t>
  </si>
  <si>
    <t xml:space="preserve">Banner menampilkan status 'Connected' dengan warna hijau atau indikator positif</t>
  </si>
  <si>
    <t xml:space="preserve">TC0007</t>
  </si>
  <si>
    <t xml:space="preserve">Connection State Banner menampilkan Reconnecting saat koneksi terputus</t>
  </si>
  <si>
    <t xml:space="preserve">1. Buka Patient Screen
2. Matikan WiFi/data perangkat selama 5 detik
3. Amati banner koneksi</t>
  </si>
  <si>
    <t xml:space="preserve">Banner segera berubah menjadi 'Reconnecting'; setelah koneksi pulih banner kembali ke 'Connected'</t>
  </si>
  <si>
    <t xml:space="preserve">JMRO-0003</t>
  </si>
  <si>
    <t xml:space="preserve">Sebagai pasien, saya menerima Proximity Status sesuai posisi antrean (STORY 3.1)</t>
  </si>
  <si>
    <t xml:space="preserve">TC0008</t>
  </si>
  <si>
    <t xml:space="preserve">Proximity Status berubah menjadi 'Bersiap' saat sisa antrean ≤ 3</t>
  </si>
  <si>
    <t xml:space="preserve">1. Set My Ticket pasien = A-008
2. Operator tekan NEXT hingga currentNumber = A-005
3. Amati perubahan status dan warna</t>
  </si>
  <si>
    <t xml:space="preserve">Status berubah menjadi 'Bersiap' disertai perubahan warna indikator (bukan warna default)</t>
  </si>
  <si>
    <t xml:space="preserve">TC0009</t>
  </si>
  <si>
    <t xml:space="preserve">Proximity Status berubah menjadi 'Sedang Dipanggil' saat nomor pasien aktif</t>
  </si>
  <si>
    <t xml:space="preserve">1. Set My Ticket pasien = A-007
2. Operator tekan NEXT hingga currentNumber = A-007</t>
  </si>
  <si>
    <t xml:space="preserve">Status berubah menjadi 'Sedang Dipanggil' dengan warna hijau</t>
  </si>
  <si>
    <t xml:space="preserve">TC0010</t>
  </si>
  <si>
    <t xml:space="preserve">Proximity Status berubah menjadi 'Sudah Terlewati' saat nomor pasien dilewati</t>
  </si>
  <si>
    <t xml:space="preserve">1. Set My Ticket pasien = A-005
2. Operator tekan NEXT hingga currentNumber = A-007</t>
  </si>
  <si>
    <t xml:space="preserve">Status berubah menjadi 'Sudah Terlewati' dengan warna merah</t>
  </si>
  <si>
    <t xml:space="preserve">JMRO-0004</t>
  </si>
  <si>
    <t xml:space="preserve">Sebagai pasien, saya menerima Smart Proximity Notification (STORY 3.1)</t>
  </si>
  <si>
    <t xml:space="preserve">TC0011</t>
  </si>
  <si>
    <t xml:space="preserve">Notifikasi lokal muncul saat kondisi proximity terpenuhi (≤ 3 nomor)</t>
  </si>
  <si>
    <t xml:space="preserve">1. Pastikan izin notifikasi diberikan di perangkat
2. Set My Ticket = A-010, currentNumber = A-006
3. Operator tekan NEXT sekali (current = A-007)</t>
  </si>
  <si>
    <t xml:space="preserve">Notifikasi Android lokal muncul dengan pesan bahwa giliran pasien tinggal dekat</t>
  </si>
  <si>
    <t xml:space="preserve">TC0012</t>
  </si>
  <si>
    <t xml:space="preserve">Notifikasi tidak berulang kali muncul untuk setiap tekan NEXT setelah ambang batas</t>
  </si>
  <si>
    <t xml:space="preserve">1. Kondisi proximity sudah terpenuhi (sisa ≤ 3)
2. Operator tekan NEXT beberapa kali lagi</t>
  </si>
  <si>
    <t xml:space="preserve">Notifikasi hanya muncul sekali pada saat ambang batas pertama kali terpenuhi, tidak terus berulang</t>
  </si>
  <si>
    <t xml:space="preserve">TC0013</t>
  </si>
  <si>
    <t xml:space="preserve">Notifikasi tidak muncul saat sisa antrean masih &gt; 3</t>
  </si>
  <si>
    <t xml:space="preserve">1. Set My Ticket = A-020, currentNumber = A-001
2. Operator tekan NEXT beberapa kali (masih &gt; 3 sisa)</t>
  </si>
  <si>
    <t xml:space="preserve">Tidak ada notifikasi yang muncul selama sisa antrean masih lebih dari 3</t>
  </si>
  <si>
    <t xml:space="preserve">JMRO-0005</t>
  </si>
  <si>
    <t xml:space="preserve">Sebagai pasien, saya melihat Estimasi Waktu Tunggu (ETA) real-time (STORY 3.2)</t>
  </si>
  <si>
    <t xml:space="preserve">TC0014</t>
  </si>
  <si>
    <t xml:space="preserve">ETA ditampilkan di Patient Screen berdasarkan rata-rata waktu layanan</t>
  </si>
  <si>
    <t xml:space="preserve">1. Buka Patient Screen
2. Operator tekan NEXT beberapa kali dengan jeda waktu berbeda
3. Amati nilai ETA yang ditampilkan</t>
  </si>
  <si>
    <t xml:space="preserve">ETA tampil dalam satuan menit dan berubah dinamis sesuai rata-rata kecepatan layanan aktual</t>
  </si>
  <si>
    <t xml:space="preserve">TC0015</t>
  </si>
  <si>
    <t xml:space="preserve">ETA diperbarui otomatis setelah setiap panggilan NEXT</t>
  </si>
  <si>
    <t xml:space="preserve">1. Catat nilai ETA awal
2. Operator tekan NEXT
3. Amati apakah ETA berubah</t>
  </si>
  <si>
    <t xml:space="preserve">Nilai ETA diperbarui secara otomatis tanpa refresh manual setelah setiap pemanggilan nomor</t>
  </si>
  <si>
    <t xml:space="preserve">JMRO-0006</t>
  </si>
  <si>
    <t xml:space="preserve">Sebagai operator, akses dibatasi dengan seed account (STORY 1.3 / RBAC)</t>
  </si>
  <si>
    <t xml:space="preserve">TC0016</t>
  </si>
  <si>
    <t xml:space="preserve">Login dengan akun operator berhasil mengakses Operator Screen</t>
  </si>
  <si>
    <t xml:space="preserve">1. Input email: operator@seed.com
2. Input password yang valid
3. Tap login</t>
  </si>
  <si>
    <t xml:space="preserve">Diarahkan ke Operator Queue Screen; tombol NEXT tersedia</t>
  </si>
  <si>
    <t xml:space="preserve">TC0017</t>
  </si>
  <si>
    <t xml:space="preserve">Login dengan akun pasien tidak bisa mengakses Operator Screen</t>
  </si>
  <si>
    <t xml:space="preserve">1. Login dengan akun pasien
2. Coba navigasi ke Operator Screen</t>
  </si>
  <si>
    <t xml:space="preserve">Akun pasien tidak dapat mengakses Operator Screen; hanya bisa melihat Patient Queue Screen</t>
  </si>
  <si>
    <t xml:space="preserve">JMRO-0007</t>
  </si>
  <si>
    <t xml:space="preserve">Navigasi &amp; Tampilan Shell Aplikasi (STORY 1.4)</t>
  </si>
  <si>
    <t xml:space="preserve">Enhancement</t>
  </si>
  <si>
    <t xml:space="preserve">TC0018</t>
  </si>
  <si>
    <t xml:space="preserve">Bottom Navigation berfungsi dan berpindah antar layar</t>
  </si>
  <si>
    <t xml:space="preserve">1. Buka aplikasi sebagai pasien
2. Tap ikon di Bottom Navigation (Home, Antrean, Profil, FAQ)</t>
  </si>
  <si>
    <t xml:space="preserve">Navigasi berpindah ke layar yang sesuai; tidak ada crash saat berpindah</t>
  </si>
  <si>
    <t xml:space="preserve">Total</t>
  </si>
  <si>
    <t xml:space="preserve">TC0019</t>
  </si>
  <si>
    <t xml:space="preserve">Home Screen menampilkan menu Antrean Online melalui Bottom Sheet Picker</t>
  </si>
  <si>
    <t xml:space="preserve">1. Buka Home Screen
2. Tap menu Antrean Online</t>
  </si>
  <si>
    <t xml:space="preserve">Bottom Sheet muncul dengan pilihan layanan (Tingkat Pertama, Rujukan, dll.)</t>
  </si>
  <si>
    <t xml:space="preserve">TC0020</t>
  </si>
  <si>
    <t xml:space="preserve">Kartu Peserta Screen menampilkan data KIS Digital</t>
  </si>
  <si>
    <t xml:space="preserve">1. Buka halaman Kartu Peserta
2. Amati tampilan kartu</t>
  </si>
  <si>
    <t xml:space="preserve">Tampil kartu KIS digital dengan data peserta (dapat berupa data dummy)</t>
  </si>
  <si>
    <t xml:space="preserve">JMRO-0008</t>
  </si>
  <si>
    <t xml:space="preserve">Stabilitas — Firebase Crashlytics mencatat exception (BRD Non-Fungsional)</t>
  </si>
  <si>
    <t xml:space="preserve">TC0021</t>
  </si>
  <si>
    <t xml:space="preserve">Crash test manual tercatat di Firebase Crashlytics Dashboard</t>
  </si>
  <si>
    <t xml:space="preserve">1. Jalankan test crash bawaan Crashlytics: FirebaseCrashlytics.getInstance().log(...)
2. Periksa Firebase Console setelah beberapa menit</t>
  </si>
  <si>
    <t xml:space="preserve">Laporan crash muncul di Firebase Crashlytics Dashboard disertai stack trace</t>
  </si>
  <si>
    <t xml:space="preserve">Kategori</t>
  </si>
  <si>
    <t xml:space="preserve">TC0022</t>
  </si>
  <si>
    <t xml:space="preserve">Kegagalan koneksi WebSocket tercatat sebagai non-fatal exception</t>
  </si>
  <si>
    <t xml:space="preserve">1. Paksa koneksi WebSocket gagal (matikan server sementara)
2. Buka Patient Screen
3. Periksa Firebase Console</t>
  </si>
  <si>
    <t xml:space="preserve">Non-fatal exception terkait WebSocket tercatat di Crashlytics dengan informasi error yang cukup</t>
  </si>
  <si>
    <t xml:space="preserve">REKAP HASIL UAT</t>
  </si>
  <si>
    <t xml:space="preserve">Bug</t>
  </si>
  <si>
    <t xml:space="preserve">CATATAN DAN KESEPAKATAN</t>
  </si>
  <si>
    <t xml:space="preserve">Catatan dan Kesepakatan</t>
  </si>
  <si>
    <t xml:space="preserve">DEPOK, 20 JANUARI 2024</t>
  </si>
  <si>
    <t xml:space="preserve">PJ</t>
  </si>
  <si>
    <t xml:space="preserve">MENGESAHKAN,</t>
  </si>
  <si>
    <t xml:space="preserve">PIHAK PERTAMA </t>
  </si>
  <si>
    <t xml:space="preserve">PIHAK KEDUA </t>
  </si>
  <si>
    <t xml:space="preserve">NAMA KLIEN</t>
  </si>
  <si>
    <t xml:space="preserve">NAMA PERUSAHAAN ANDA</t>
  </si>
  <si>
    <t xml:space="preserve">Banjarmasin, 30 Juni 2026</t>
  </si>
  <si>
    <t xml:space="preserve">NAMA PENANGGUNG JAWAB</t>
  </si>
  <si>
    <t xml:space="preserve">PIHAK PERTAMA</t>
  </si>
  <si>
    <t xml:space="preserve">PIHAK KEDUA</t>
  </si>
  <si>
    <t xml:space="preserve">Universitas / Dosen Pengampu</t>
  </si>
  <si>
    <t xml:space="preserve">Tim Mobile JKN Redesign</t>
  </si>
  <si>
    <t xml:space="preserve">(_____________________________)</t>
  </si>
  <si>
    <t xml:space="preserve">Project Manager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</si>
</sst>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2060"/>
      <name val="Arial"/>
      <family val="0"/>
      <charset val="1"/>
    </font>
    <font>
      <b val="true"/>
      <sz val="14"/>
      <color rgb="FF002060"/>
      <name val="Arial"/>
      <family val="0"/>
      <charset val="1"/>
    </font>
    <font>
      <b val="true"/>
      <sz val="20"/>
      <color rgb="FF002060"/>
      <name val="Aptos Narrow"/>
      <family val="2"/>
      <charset val="1"/>
    </font>
    <font>
      <sz val="11"/>
      <color rgb="FF000000"/>
      <name val="Arial"/>
      <family val="0"/>
      <charset val="1"/>
    </font>
    <font>
      <b val="true"/>
      <sz val="11"/>
      <color theme="1"/>
      <name val="Aptos Narrow"/>
      <family val="2"/>
      <charset val="1"/>
    </font>
    <font>
      <sz val="11"/>
      <color theme="0"/>
      <name val="Aptos Narrow"/>
      <family val="2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206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B050"/>
      <name val="Arial"/>
      <family val="0"/>
      <charset val="1"/>
    </font>
    <font>
      <b val="true"/>
      <sz val="11"/>
      <color rgb="FF00B050"/>
      <name val="Aptos Narrow"/>
      <family val="2"/>
      <charset val="1"/>
    </font>
    <font>
      <b val="true"/>
      <sz val="11"/>
      <color theme="7"/>
      <name val="Aptos Narrow"/>
      <family val="2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1"/>
      <color rgb="FFFF99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D6E4F7"/>
        <bgColor rgb="FFD9E1F2"/>
      </patternFill>
    </fill>
    <fill>
      <patternFill patternType="solid">
        <fgColor theme="0" tint="-0.25"/>
        <bgColor rgb="FF99CCFF"/>
      </patternFill>
    </fill>
    <fill>
      <patternFill patternType="solid">
        <fgColor rgb="FFD9E1F2"/>
        <bgColor rgb="FFD6E4F7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/>
      <top style="thin">
        <color theme="0"/>
      </top>
      <bottom style="thin">
        <color theme="0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>
        <color theme="0"/>
      </top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 readingOrder="1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0070C0"/>
      </font>
    </dxf>
    <dxf>
      <font>
        <color rgb="FFFF0000"/>
      </font>
    </dxf>
    <dxf>
      <font>
        <color rgb="FF00B05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BFBFBF"/>
      <rgbColor rgb="FF808080"/>
      <rgbColor rgb="FF9999FF"/>
      <rgbColor rgb="FF993366"/>
      <rgbColor rgb="FFFFFFCC"/>
      <rgbColor rgb="FFD6E4F7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B1:J94"/>
  <sheetViews>
    <sheetView showFormulas="false" showGridLines="fals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106" activeCellId="0" sqref="G10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1" width="30"/>
    <col collapsed="false" customWidth="true" hidden="false" outlineLevel="0" max="8" min="8" style="0" width="14"/>
    <col collapsed="false" customWidth="true" hidden="false" outlineLevel="0" max="9" min="9" style="1" width="22"/>
  </cols>
  <sheetData>
    <row r="1" customFormat="false" ht="26.25" hidden="false" customHeight="true" outlineLevel="0" collapsed="false">
      <c r="F1" s="2" t="s">
        <v>0</v>
      </c>
    </row>
    <row r="2" customFormat="false" ht="26.25" hidden="false" customHeight="true" outlineLevel="0" collapsed="false">
      <c r="F2" s="3" t="s">
        <v>1</v>
      </c>
    </row>
    <row r="3" customFormat="false" ht="26.25" hidden="false" customHeight="true" outlineLevel="0" collapsed="false">
      <c r="F3" s="3" t="s">
        <v>2</v>
      </c>
    </row>
    <row r="4" customFormat="false" ht="26.25" hidden="false" customHeight="true" outlineLevel="0" collapsed="false">
      <c r="F4" s="4"/>
    </row>
    <row r="6" customFormat="false" ht="15" hidden="false" customHeight="false" outlineLevel="0" collapsed="false">
      <c r="B6" s="0" t="s">
        <v>3</v>
      </c>
      <c r="D6" s="5" t="s">
        <v>4</v>
      </c>
    </row>
    <row r="7" customFormat="false" ht="15" hidden="false" customHeight="false" outlineLevel="0" collapsed="false">
      <c r="B7" s="0" t="s">
        <v>5</v>
      </c>
      <c r="D7" s="5" t="s">
        <v>6</v>
      </c>
    </row>
    <row r="8" customFormat="false" ht="15" hidden="false" customHeight="false" outlineLevel="0" collapsed="false">
      <c r="B8" s="0" t="s">
        <v>7</v>
      </c>
      <c r="D8" s="5" t="s">
        <v>8</v>
      </c>
    </row>
    <row r="9" customFormat="false" ht="15" hidden="false" customHeight="false" outlineLevel="0" collapsed="false">
      <c r="B9" s="0" t="s">
        <v>9</v>
      </c>
      <c r="D9" s="5" t="s">
        <v>10</v>
      </c>
    </row>
    <row r="10" customFormat="false" ht="15" hidden="false" customHeight="false" outlineLevel="0" collapsed="false">
      <c r="B10" s="0" t="s">
        <v>11</v>
      </c>
      <c r="D10" s="5" t="s">
        <v>12</v>
      </c>
    </row>
    <row r="12" customFormat="false" ht="15" hidden="false" customHeight="false" outlineLevel="0" collapsed="false">
      <c r="B12" s="6" t="s">
        <v>13</v>
      </c>
    </row>
    <row r="14" s="7" customFormat="true" ht="26.25" hidden="false" customHeight="true" outlineLevel="0" collapsed="false">
      <c r="B14" s="8"/>
      <c r="C14" s="9" t="s">
        <v>14</v>
      </c>
      <c r="D14" s="9"/>
      <c r="E14" s="10" t="s">
        <v>15</v>
      </c>
      <c r="F14" s="11" t="s">
        <v>16</v>
      </c>
      <c r="G14" s="12"/>
      <c r="H14" s="9"/>
      <c r="I14" s="13"/>
    </row>
    <row r="15" customFormat="false" ht="15" hidden="false" customHeight="false" outlineLevel="0" collapsed="false">
      <c r="B15" s="14" t="s">
        <v>17</v>
      </c>
      <c r="C15" s="15"/>
      <c r="D15" s="15"/>
      <c r="E15" s="16" t="s">
        <v>18</v>
      </c>
      <c r="F15" s="17" t="s">
        <v>19</v>
      </c>
      <c r="G15" s="18"/>
      <c r="H15" s="15"/>
      <c r="I15" s="19"/>
    </row>
    <row r="16" customFormat="false" ht="15" hidden="false" customHeight="false" outlineLevel="0" collapsed="false">
      <c r="B16" s="14" t="s">
        <v>20</v>
      </c>
      <c r="C16" s="15"/>
      <c r="D16" s="15"/>
      <c r="E16" s="16" t="s">
        <v>18</v>
      </c>
      <c r="F16" s="17" t="s">
        <v>21</v>
      </c>
      <c r="G16" s="18"/>
      <c r="H16" s="15"/>
      <c r="I16" s="19"/>
    </row>
    <row r="17" customFormat="false" ht="15" hidden="false" customHeight="false" outlineLevel="0" collapsed="false">
      <c r="B17" s="14" t="s">
        <v>22</v>
      </c>
      <c r="C17" s="15"/>
      <c r="D17" s="15"/>
      <c r="E17" s="16" t="s">
        <v>18</v>
      </c>
      <c r="F17" s="17" t="s">
        <v>21</v>
      </c>
      <c r="G17" s="18"/>
      <c r="H17" s="15"/>
      <c r="I17" s="19"/>
    </row>
    <row r="18" customFormat="false" ht="15" hidden="false" customHeight="false" outlineLevel="0" collapsed="false">
      <c r="B18" s="14" t="s">
        <v>23</v>
      </c>
      <c r="C18" s="15"/>
      <c r="D18" s="15"/>
      <c r="E18" s="20" t="s">
        <v>18</v>
      </c>
      <c r="F18" s="17" t="s">
        <v>24</v>
      </c>
      <c r="G18" s="18"/>
      <c r="H18" s="15"/>
      <c r="I18" s="19"/>
    </row>
    <row r="19" customFormat="false" ht="15" hidden="false" customHeight="false" outlineLevel="0" collapsed="false">
      <c r="B19" s="5" t="s">
        <v>25</v>
      </c>
      <c r="E19" s="5" t="s">
        <v>26</v>
      </c>
      <c r="F19" s="5" t="s">
        <v>27</v>
      </c>
    </row>
    <row r="20" customFormat="false" ht="15" hidden="false" customHeight="false" outlineLevel="0" collapsed="false">
      <c r="B20" s="6" t="s">
        <v>28</v>
      </c>
    </row>
    <row r="21" customFormat="false" ht="15" hidden="false" customHeight="false" outlineLevel="0" collapsed="false">
      <c r="B21" s="0" t="s">
        <v>29</v>
      </c>
    </row>
    <row r="22" customFormat="false" ht="15" hidden="false" customHeight="false" outlineLevel="0" collapsed="false">
      <c r="C22" s="5" t="s">
        <v>30</v>
      </c>
      <c r="D22" s="5" t="s">
        <v>31</v>
      </c>
    </row>
    <row r="23" customFormat="false" ht="15" hidden="false" customHeight="false" outlineLevel="0" collapsed="false">
      <c r="C23" s="5" t="s">
        <v>32</v>
      </c>
      <c r="D23" s="5" t="s">
        <v>33</v>
      </c>
    </row>
    <row r="24" customFormat="false" ht="15" hidden="false" customHeight="false" outlineLevel="0" collapsed="false">
      <c r="C24" s="5" t="s">
        <v>34</v>
      </c>
      <c r="D24" s="5" t="s">
        <v>35</v>
      </c>
    </row>
    <row r="25" customFormat="false" ht="15" hidden="false" customHeight="false" outlineLevel="0" collapsed="false">
      <c r="C25" s="5" t="s">
        <v>36</v>
      </c>
      <c r="D25" s="5" t="s">
        <v>37</v>
      </c>
    </row>
    <row r="26" customFormat="false" ht="15" hidden="false" customHeight="false" outlineLevel="0" collapsed="false">
      <c r="B26" s="0" t="s">
        <v>38</v>
      </c>
    </row>
    <row r="27" customFormat="false" ht="15" hidden="false" customHeight="false" outlineLevel="0" collapsed="false">
      <c r="C27" s="5" t="s">
        <v>39</v>
      </c>
      <c r="D27" s="5" t="s">
        <v>40</v>
      </c>
    </row>
    <row r="29" s="21" customFormat="true" ht="15" hidden="false" customHeight="false" outlineLevel="0" collapsed="false">
      <c r="B29" s="22" t="s">
        <v>41</v>
      </c>
      <c r="G29" s="23"/>
      <c r="I29" s="23"/>
    </row>
    <row r="30" s="21" customFormat="true" ht="15" hidden="false" customHeight="false" outlineLevel="0" collapsed="false">
      <c r="G30" s="23"/>
      <c r="I30" s="23"/>
    </row>
    <row r="31" s="21" customFormat="true" ht="22.5" hidden="false" customHeight="true" outlineLevel="0" collapsed="false">
      <c r="B31" s="24" t="s">
        <v>42</v>
      </c>
      <c r="C31" s="10" t="s">
        <v>43</v>
      </c>
      <c r="D31" s="10" t="s">
        <v>44</v>
      </c>
      <c r="E31" s="10" t="s">
        <v>45</v>
      </c>
      <c r="F31" s="10" t="s">
        <v>46</v>
      </c>
      <c r="G31" s="25" t="s">
        <v>47</v>
      </c>
      <c r="H31" s="10" t="s">
        <v>48</v>
      </c>
      <c r="I31" s="26" t="s">
        <v>49</v>
      </c>
      <c r="J31" s="27"/>
    </row>
    <row r="32" s="21" customFormat="true" ht="15" hidden="false" customHeight="false" outlineLevel="0" collapsed="false">
      <c r="B32" s="28" t="s">
        <v>50</v>
      </c>
      <c r="C32" s="29" t="s">
        <v>51</v>
      </c>
      <c r="D32" s="30"/>
      <c r="E32" s="30"/>
      <c r="F32" s="30"/>
      <c r="G32" s="31"/>
      <c r="H32" s="32"/>
      <c r="I32" s="31"/>
      <c r="J32" s="27"/>
    </row>
    <row r="33" s="21" customFormat="true" ht="45" hidden="false" customHeight="true" outlineLevel="0" collapsed="false">
      <c r="B33" s="33"/>
      <c r="C33" s="34" t="s">
        <v>52</v>
      </c>
      <c r="D33" s="34" t="s">
        <v>53</v>
      </c>
      <c r="E33" s="34" t="s">
        <v>54</v>
      </c>
      <c r="F33" s="34" t="s">
        <v>55</v>
      </c>
      <c r="G33" s="34" t="s">
        <v>56</v>
      </c>
      <c r="H33" s="35" t="s">
        <v>57</v>
      </c>
      <c r="I33" s="34"/>
    </row>
    <row r="34" s="21" customFormat="true" ht="45" hidden="false" customHeight="true" outlineLevel="0" collapsed="false">
      <c r="B34" s="36"/>
      <c r="C34" s="34" t="s">
        <v>58</v>
      </c>
      <c r="D34" s="34" t="s">
        <v>59</v>
      </c>
      <c r="E34" s="34" t="s">
        <v>60</v>
      </c>
      <c r="F34" s="34" t="s">
        <v>61</v>
      </c>
      <c r="G34" s="34" t="s">
        <v>56</v>
      </c>
      <c r="H34" s="35" t="s">
        <v>57</v>
      </c>
      <c r="I34" s="34"/>
    </row>
    <row r="35" s="21" customFormat="true" ht="60" hidden="false" customHeight="true" outlineLevel="0" collapsed="false">
      <c r="B35" s="37"/>
      <c r="C35" s="34" t="s">
        <v>62</v>
      </c>
      <c r="D35" s="34" t="s">
        <v>63</v>
      </c>
      <c r="E35" s="34" t="s">
        <v>64</v>
      </c>
      <c r="F35" s="34" t="s">
        <v>65</v>
      </c>
      <c r="G35" s="34" t="s">
        <v>56</v>
      </c>
      <c r="H35" s="35" t="s">
        <v>57</v>
      </c>
      <c r="I35" s="34"/>
    </row>
    <row r="36" s="21" customFormat="true" ht="45" hidden="false" customHeight="true" outlineLevel="0" collapsed="false">
      <c r="B36" s="38" t="s">
        <v>66</v>
      </c>
      <c r="C36" s="38" t="s">
        <v>67</v>
      </c>
      <c r="D36" s="39" t="s">
        <v>68</v>
      </c>
      <c r="E36" s="39" t="s">
        <v>69</v>
      </c>
      <c r="F36" s="39" t="s">
        <v>70</v>
      </c>
      <c r="G36" s="39" t="s">
        <v>71</v>
      </c>
      <c r="H36" s="40" t="s">
        <v>57</v>
      </c>
      <c r="I36" s="39"/>
    </row>
    <row r="37" s="21" customFormat="true" ht="39.55" hidden="false" customHeight="false" outlineLevel="0" collapsed="false">
      <c r="B37" s="41" t="s">
        <v>72</v>
      </c>
      <c r="C37" s="42" t="s">
        <v>73</v>
      </c>
      <c r="D37" s="42" t="s">
        <v>74</v>
      </c>
      <c r="E37" s="42" t="s">
        <v>75</v>
      </c>
      <c r="F37" s="42" t="s">
        <v>76</v>
      </c>
      <c r="G37" s="42" t="s">
        <v>56</v>
      </c>
      <c r="H37" s="43" t="s">
        <v>57</v>
      </c>
      <c r="I37" s="42"/>
      <c r="J37" s="27"/>
    </row>
    <row r="38" s="21" customFormat="true" ht="60" hidden="false" customHeight="true" outlineLevel="0" collapsed="false">
      <c r="B38" s="33"/>
      <c r="C38" s="34" t="s">
        <v>77</v>
      </c>
      <c r="D38" s="34" t="s">
        <v>78</v>
      </c>
      <c r="E38" s="34" t="s">
        <v>79</v>
      </c>
      <c r="F38" s="34" t="s">
        <v>80</v>
      </c>
      <c r="G38" s="34" t="s">
        <v>56</v>
      </c>
      <c r="H38" s="35" t="s">
        <v>57</v>
      </c>
      <c r="I38" s="34"/>
    </row>
    <row r="39" s="21" customFormat="true" ht="60" hidden="false" customHeight="true" outlineLevel="0" collapsed="false">
      <c r="B39" s="36"/>
      <c r="C39" s="34" t="s">
        <v>81</v>
      </c>
      <c r="D39" s="34" t="s">
        <v>82</v>
      </c>
      <c r="E39" s="34" t="s">
        <v>83</v>
      </c>
      <c r="F39" s="34" t="s">
        <v>84</v>
      </c>
      <c r="G39" s="34" t="s">
        <v>56</v>
      </c>
      <c r="H39" s="35" t="s">
        <v>57</v>
      </c>
      <c r="I39" s="34"/>
    </row>
    <row r="40" s="21" customFormat="true" ht="60" hidden="false" customHeight="true" outlineLevel="0" collapsed="false">
      <c r="B40" s="37"/>
      <c r="C40" s="34" t="s">
        <v>85</v>
      </c>
      <c r="D40" s="34" t="s">
        <v>86</v>
      </c>
      <c r="E40" s="34" t="s">
        <v>87</v>
      </c>
      <c r="F40" s="34" t="s">
        <v>88</v>
      </c>
      <c r="G40" s="34" t="s">
        <v>56</v>
      </c>
      <c r="H40" s="35" t="s">
        <v>57</v>
      </c>
      <c r="I40" s="34"/>
    </row>
    <row r="41" s="21" customFormat="true" ht="15" hidden="false" customHeight="false" outlineLevel="0" collapsed="false">
      <c r="B41" s="38" t="s">
        <v>89</v>
      </c>
      <c r="C41" s="38" t="s">
        <v>90</v>
      </c>
      <c r="D41" s="39"/>
      <c r="E41" s="39"/>
      <c r="F41" s="39"/>
      <c r="G41" s="39"/>
      <c r="H41" s="40"/>
      <c r="I41" s="39"/>
    </row>
    <row r="42" s="21" customFormat="true" ht="52.2" hidden="false" customHeight="false" outlineLevel="0" collapsed="false">
      <c r="B42" s="33"/>
      <c r="C42" s="34" t="s">
        <v>91</v>
      </c>
      <c r="D42" s="34" t="s">
        <v>92</v>
      </c>
      <c r="E42" s="34" t="s">
        <v>93</v>
      </c>
      <c r="F42" s="34" t="s">
        <v>94</v>
      </c>
      <c r="G42" s="34" t="s">
        <v>56</v>
      </c>
      <c r="H42" s="35" t="s">
        <v>57</v>
      </c>
      <c r="I42" s="34"/>
    </row>
    <row r="43" s="21" customFormat="true" ht="39.55" hidden="false" customHeight="false" outlineLevel="0" collapsed="false">
      <c r="B43" s="33"/>
      <c r="C43" s="34" t="s">
        <v>95</v>
      </c>
      <c r="D43" s="34" t="s">
        <v>96</v>
      </c>
      <c r="E43" s="34" t="s">
        <v>97</v>
      </c>
      <c r="F43" s="34" t="s">
        <v>98</v>
      </c>
      <c r="G43" s="34" t="s">
        <v>56</v>
      </c>
      <c r="H43" s="35" t="s">
        <v>57</v>
      </c>
      <c r="I43" s="34"/>
    </row>
    <row r="44" s="21" customFormat="true" ht="39.55" hidden="false" customHeight="false" outlineLevel="0" collapsed="false">
      <c r="B44" s="33"/>
      <c r="C44" s="34" t="s">
        <v>99</v>
      </c>
      <c r="D44" s="34" t="s">
        <v>100</v>
      </c>
      <c r="E44" s="34" t="s">
        <v>101</v>
      </c>
      <c r="F44" s="34" t="s">
        <v>102</v>
      </c>
      <c r="G44" s="34" t="s">
        <v>56</v>
      </c>
      <c r="H44" s="35" t="s">
        <v>57</v>
      </c>
      <c r="I44" s="34"/>
    </row>
    <row r="45" s="21" customFormat="true" ht="15" hidden="false" customHeight="false" outlineLevel="0" collapsed="false">
      <c r="B45" s="38" t="s">
        <v>103</v>
      </c>
      <c r="C45" s="38" t="s">
        <v>104</v>
      </c>
      <c r="D45" s="39"/>
      <c r="E45" s="39"/>
      <c r="F45" s="39"/>
      <c r="G45" s="39"/>
      <c r="H45" s="40"/>
      <c r="I45" s="39"/>
    </row>
    <row r="46" s="21" customFormat="true" ht="39.55" hidden="false" customHeight="false" outlineLevel="0" collapsed="false">
      <c r="B46" s="33"/>
      <c r="C46" s="34" t="s">
        <v>105</v>
      </c>
      <c r="D46" s="34" t="s">
        <v>106</v>
      </c>
      <c r="E46" s="34" t="s">
        <v>107</v>
      </c>
      <c r="F46" s="34" t="s">
        <v>108</v>
      </c>
      <c r="G46" s="34" t="s">
        <v>56</v>
      </c>
      <c r="H46" s="35" t="s">
        <v>57</v>
      </c>
      <c r="I46" s="34"/>
    </row>
    <row r="47" s="21" customFormat="true" ht="39.55" hidden="false" customHeight="false" outlineLevel="0" collapsed="false">
      <c r="B47" s="33"/>
      <c r="C47" s="34" t="s">
        <v>109</v>
      </c>
      <c r="D47" s="34" t="s">
        <v>110</v>
      </c>
      <c r="E47" s="34" t="s">
        <v>111</v>
      </c>
      <c r="F47" s="34" t="s">
        <v>112</v>
      </c>
      <c r="G47" s="34" t="s">
        <v>56</v>
      </c>
      <c r="H47" s="35" t="s">
        <v>57</v>
      </c>
      <c r="I47" s="34"/>
    </row>
    <row r="48" s="21" customFormat="true" ht="39.55" hidden="false" customHeight="false" outlineLevel="0" collapsed="false">
      <c r="B48" s="33"/>
      <c r="C48" s="34" t="s">
        <v>113</v>
      </c>
      <c r="D48" s="34" t="s">
        <v>114</v>
      </c>
      <c r="E48" s="34" t="s">
        <v>115</v>
      </c>
      <c r="F48" s="34" t="s">
        <v>116</v>
      </c>
      <c r="G48" s="34" t="s">
        <v>56</v>
      </c>
      <c r="H48" s="35" t="s">
        <v>57</v>
      </c>
      <c r="I48" s="34"/>
    </row>
    <row r="49" s="21" customFormat="true" ht="15" hidden="false" customHeight="false" outlineLevel="0" collapsed="false">
      <c r="B49" s="38" t="s">
        <v>117</v>
      </c>
      <c r="C49" s="38" t="s">
        <v>118</v>
      </c>
      <c r="D49" s="39"/>
      <c r="E49" s="39"/>
      <c r="F49" s="39"/>
      <c r="G49" s="39"/>
      <c r="H49" s="40"/>
      <c r="I49" s="39"/>
    </row>
    <row r="50" s="21" customFormat="true" ht="52.2" hidden="false" customHeight="false" outlineLevel="0" collapsed="false">
      <c r="B50" s="33"/>
      <c r="C50" s="34" t="s">
        <v>119</v>
      </c>
      <c r="D50" s="34" t="s">
        <v>120</v>
      </c>
      <c r="E50" s="34" t="s">
        <v>121</v>
      </c>
      <c r="F50" s="34" t="s">
        <v>122</v>
      </c>
      <c r="G50" s="34" t="s">
        <v>56</v>
      </c>
      <c r="H50" s="35" t="s">
        <v>57</v>
      </c>
      <c r="I50" s="34"/>
    </row>
    <row r="51" s="21" customFormat="true" ht="39.55" hidden="false" customHeight="false" outlineLevel="0" collapsed="false">
      <c r="C51" s="34" t="s">
        <v>123</v>
      </c>
      <c r="D51" s="34" t="s">
        <v>124</v>
      </c>
      <c r="E51" s="34" t="s">
        <v>125</v>
      </c>
      <c r="F51" s="34" t="s">
        <v>126</v>
      </c>
      <c r="G51" s="34" t="s">
        <v>56</v>
      </c>
      <c r="H51" s="35" t="s">
        <v>57</v>
      </c>
      <c r="I51" s="34"/>
    </row>
    <row r="52" s="21" customFormat="true" ht="15" hidden="false" customHeight="false" outlineLevel="0" collapsed="false">
      <c r="B52" s="29" t="s">
        <v>127</v>
      </c>
      <c r="C52" s="29" t="s">
        <v>128</v>
      </c>
      <c r="D52" s="23"/>
      <c r="E52" s="23"/>
      <c r="F52" s="23"/>
      <c r="G52" s="23"/>
      <c r="I52" s="23"/>
    </row>
    <row r="53" s="21" customFormat="true" ht="39.55" hidden="false" customHeight="false" outlineLevel="0" collapsed="false">
      <c r="C53" s="34" t="s">
        <v>129</v>
      </c>
      <c r="D53" s="34" t="s">
        <v>130</v>
      </c>
      <c r="E53" s="34" t="s">
        <v>131</v>
      </c>
      <c r="F53" s="34" t="s">
        <v>132</v>
      </c>
      <c r="G53" s="34" t="s">
        <v>56</v>
      </c>
      <c r="H53" s="35" t="s">
        <v>57</v>
      </c>
      <c r="I53" s="34"/>
    </row>
    <row r="54" s="21" customFormat="true" ht="26.85" hidden="false" customHeight="false" outlineLevel="0" collapsed="false">
      <c r="B54" s="44" t="s">
        <v>57</v>
      </c>
      <c r="C54" s="34" t="s">
        <v>133</v>
      </c>
      <c r="D54" s="34" t="s">
        <v>134</v>
      </c>
      <c r="E54" s="34" t="s">
        <v>135</v>
      </c>
      <c r="F54" s="34" t="s">
        <v>136</v>
      </c>
      <c r="G54" s="34" t="s">
        <v>56</v>
      </c>
      <c r="H54" s="35" t="s">
        <v>57</v>
      </c>
      <c r="I54" s="34"/>
    </row>
    <row r="55" s="21" customFormat="true" ht="15" hidden="false" customHeight="false" outlineLevel="0" collapsed="false">
      <c r="B55" s="28" t="s">
        <v>137</v>
      </c>
      <c r="C55" s="29" t="s">
        <v>138</v>
      </c>
      <c r="D55" s="23"/>
      <c r="E55" s="23"/>
      <c r="F55" s="23"/>
      <c r="G55" s="23"/>
      <c r="I55" s="45"/>
    </row>
    <row r="56" s="21" customFormat="true" ht="39.55" hidden="false" customHeight="false" outlineLevel="0" collapsed="false">
      <c r="B56" s="46" t="s">
        <v>139</v>
      </c>
      <c r="C56" s="34" t="s">
        <v>140</v>
      </c>
      <c r="D56" s="34" t="s">
        <v>141</v>
      </c>
      <c r="E56" s="34" t="s">
        <v>142</v>
      </c>
      <c r="F56" s="34" t="s">
        <v>143</v>
      </c>
      <c r="G56" s="34" t="s">
        <v>56</v>
      </c>
      <c r="H56" s="35" t="s">
        <v>57</v>
      </c>
      <c r="I56" s="34"/>
    </row>
    <row r="57" s="21" customFormat="true" ht="39.55" hidden="false" customHeight="false" outlineLevel="0" collapsed="false">
      <c r="B57" s="47" t="s">
        <v>144</v>
      </c>
      <c r="C57" s="34" t="s">
        <v>145</v>
      </c>
      <c r="D57" s="34" t="s">
        <v>146</v>
      </c>
      <c r="E57" s="34" t="s">
        <v>147</v>
      </c>
      <c r="F57" s="34" t="s">
        <v>148</v>
      </c>
      <c r="G57" s="34" t="s">
        <v>56</v>
      </c>
      <c r="H57" s="35" t="s">
        <v>57</v>
      </c>
      <c r="I57" s="34"/>
    </row>
    <row r="58" customFormat="false" ht="26.85" hidden="false" customHeight="false" outlineLevel="0" collapsed="false">
      <c r="C58" s="34" t="s">
        <v>149</v>
      </c>
      <c r="D58" s="34" t="s">
        <v>150</v>
      </c>
      <c r="E58" s="34" t="s">
        <v>151</v>
      </c>
      <c r="F58" s="34" t="s">
        <v>152</v>
      </c>
      <c r="G58" s="34" t="s">
        <v>56</v>
      </c>
      <c r="H58" s="35" t="s">
        <v>57</v>
      </c>
      <c r="I58" s="34"/>
    </row>
    <row r="59" customFormat="false" ht="15" hidden="false" customHeight="false" outlineLevel="0" collapsed="false">
      <c r="B59" s="29" t="s">
        <v>153</v>
      </c>
      <c r="C59" s="29" t="s">
        <v>154</v>
      </c>
    </row>
    <row r="60" customFormat="false" ht="52.2" hidden="false" customHeight="false" outlineLevel="0" collapsed="false">
      <c r="C60" s="34" t="s">
        <v>155</v>
      </c>
      <c r="D60" s="34" t="s">
        <v>156</v>
      </c>
      <c r="E60" s="34" t="s">
        <v>157</v>
      </c>
      <c r="F60" s="34" t="s">
        <v>158</v>
      </c>
      <c r="G60" s="34" t="s">
        <v>56</v>
      </c>
      <c r="H60" s="35" t="s">
        <v>57</v>
      </c>
      <c r="I60" s="34"/>
    </row>
    <row r="61" s="7" customFormat="true" ht="22.5" hidden="false" customHeight="true" outlineLevel="0" collapsed="false">
      <c r="B61" s="8" t="s">
        <v>159</v>
      </c>
      <c r="C61" s="48" t="s">
        <v>160</v>
      </c>
      <c r="D61" s="48" t="s">
        <v>161</v>
      </c>
      <c r="E61" s="48" t="s">
        <v>162</v>
      </c>
      <c r="F61" s="48" t="s">
        <v>163</v>
      </c>
      <c r="G61" s="48" t="s">
        <v>56</v>
      </c>
      <c r="H61" s="49" t="s">
        <v>57</v>
      </c>
      <c r="I61" s="48"/>
    </row>
    <row r="62" customFormat="false" ht="15" hidden="false" customHeight="false" outlineLevel="0" collapsed="false">
      <c r="B62" s="50"/>
      <c r="C62" s="15"/>
      <c r="D62" s="15"/>
      <c r="E62" s="15"/>
      <c r="F62" s="15"/>
      <c r="G62" s="18"/>
      <c r="H62" s="15"/>
      <c r="I62" s="51"/>
    </row>
    <row r="63" customFormat="false" ht="15" hidden="false" customHeight="false" outlineLevel="0" collapsed="false">
      <c r="B63" s="50"/>
      <c r="C63" s="15"/>
      <c r="D63" s="15"/>
      <c r="E63" s="15"/>
      <c r="F63" s="15"/>
      <c r="G63" s="18"/>
      <c r="H63" s="15"/>
      <c r="I63" s="51"/>
    </row>
    <row r="64" customFormat="false" ht="15" hidden="false" customHeight="false" outlineLevel="0" collapsed="false">
      <c r="B64" s="52" t="s">
        <v>164</v>
      </c>
      <c r="C64" s="15"/>
      <c r="D64" s="15"/>
      <c r="E64" s="15"/>
      <c r="F64" s="15"/>
      <c r="G64" s="18"/>
      <c r="H64" s="15"/>
      <c r="I64" s="51"/>
    </row>
    <row r="65" customFormat="false" ht="15" hidden="false" customHeight="false" outlineLevel="0" collapsed="false">
      <c r="B65" s="50"/>
      <c r="C65" s="15"/>
      <c r="D65" s="15"/>
      <c r="E65" s="15"/>
      <c r="F65" s="15"/>
      <c r="G65" s="18"/>
      <c r="H65" s="15"/>
      <c r="I65" s="51"/>
    </row>
    <row r="66" customFormat="false" ht="15" hidden="false" customHeight="false" outlineLevel="0" collapsed="false">
      <c r="B66" s="53" t="s">
        <v>57</v>
      </c>
      <c r="C66" s="54" t="n">
        <f aca="false">COUNTIF(H32:H61,"Passed")</f>
        <v>23</v>
      </c>
      <c r="D66" s="15"/>
      <c r="E66" s="15"/>
      <c r="F66" s="15"/>
      <c r="G66" s="18"/>
      <c r="H66" s="15"/>
      <c r="I66" s="51"/>
    </row>
    <row r="67" customFormat="false" ht="15" hidden="false" customHeight="false" outlineLevel="0" collapsed="false">
      <c r="B67" s="55" t="s">
        <v>165</v>
      </c>
      <c r="C67" s="54" t="n">
        <f aca="false">COUNTIF(H32:H61,"Bug")</f>
        <v>0</v>
      </c>
      <c r="D67" s="15"/>
      <c r="E67" s="15"/>
      <c r="F67" s="15"/>
      <c r="G67" s="18"/>
      <c r="H67" s="15"/>
      <c r="I67" s="51"/>
    </row>
    <row r="68" customFormat="false" ht="15" hidden="false" customHeight="false" outlineLevel="0" collapsed="false">
      <c r="B68" s="56" t="s">
        <v>139</v>
      </c>
      <c r="C68" s="54" t="n">
        <f aca="false">COUNTIF(H32:H61,"Enhancement")</f>
        <v>0</v>
      </c>
      <c r="D68" s="15"/>
      <c r="E68" s="15"/>
      <c r="F68" s="15"/>
      <c r="G68" s="18"/>
      <c r="H68" s="15"/>
      <c r="I68" s="51"/>
    </row>
    <row r="69" customFormat="false" ht="15" hidden="false" customHeight="false" outlineLevel="0" collapsed="false">
      <c r="B69" s="57" t="s">
        <v>144</v>
      </c>
      <c r="C69" s="54" t="n">
        <f aca="false">COUNTA(H32:H61)</f>
        <v>23</v>
      </c>
      <c r="D69" s="15"/>
      <c r="E69" s="15"/>
      <c r="F69" s="15"/>
      <c r="G69" s="18"/>
      <c r="H69" s="15"/>
      <c r="I69" s="51"/>
    </row>
    <row r="70" customFormat="false" ht="15" hidden="false" customHeight="false" outlineLevel="0" collapsed="false">
      <c r="B70" s="50"/>
      <c r="C70" s="15"/>
      <c r="D70" s="15"/>
      <c r="E70" s="15"/>
      <c r="F70" s="15"/>
      <c r="G70" s="18"/>
      <c r="H70" s="15"/>
      <c r="I70" s="51"/>
    </row>
    <row r="71" customFormat="false" ht="15" hidden="false" customHeight="false" outlineLevel="0" collapsed="false">
      <c r="B71" s="50"/>
      <c r="C71" s="15"/>
      <c r="D71" s="15"/>
      <c r="E71" s="15"/>
      <c r="F71" s="15"/>
      <c r="G71" s="18"/>
      <c r="H71" s="15"/>
      <c r="I71" s="51"/>
    </row>
    <row r="72" customFormat="false" ht="15" hidden="false" customHeight="false" outlineLevel="0" collapsed="false">
      <c r="B72" s="58" t="s">
        <v>166</v>
      </c>
    </row>
    <row r="74" customFormat="false" ht="15" hidden="false" customHeight="false" outlineLevel="0" collapsed="false">
      <c r="B74" s="59" t="s">
        <v>159</v>
      </c>
      <c r="C74" s="60"/>
      <c r="D74" s="60"/>
      <c r="E74" s="59" t="s">
        <v>167</v>
      </c>
      <c r="F74" s="60"/>
      <c r="G74" s="61"/>
      <c r="H74" s="62" t="s">
        <v>168</v>
      </c>
      <c r="I74" s="63" t="s">
        <v>169</v>
      </c>
    </row>
    <row r="75" customFormat="false" ht="15" hidden="false" customHeight="false" outlineLevel="0" collapsed="false">
      <c r="B75" s="50"/>
      <c r="E75" s="50"/>
      <c r="I75" s="51"/>
    </row>
    <row r="76" customFormat="false" ht="15" hidden="false" customHeight="false" outlineLevel="0" collapsed="false">
      <c r="B76" s="50"/>
      <c r="E76" s="50"/>
      <c r="F76" s="6" t="s">
        <v>170</v>
      </c>
      <c r="I76" s="51"/>
    </row>
    <row r="77" customFormat="false" ht="15" hidden="false" customHeight="false" outlineLevel="0" collapsed="false">
      <c r="B77" s="50"/>
      <c r="E77" s="50"/>
      <c r="I77" s="51"/>
    </row>
    <row r="78" customFormat="false" ht="15" hidden="false" customHeight="false" outlineLevel="0" collapsed="false">
      <c r="B78" s="50"/>
      <c r="E78" s="50"/>
      <c r="I78" s="51"/>
    </row>
    <row r="79" customFormat="false" ht="15" hidden="false" customHeight="false" outlineLevel="0" collapsed="false">
      <c r="B79" s="50"/>
      <c r="C79" s="64"/>
      <c r="D79" s="65" t="s">
        <v>171</v>
      </c>
      <c r="E79" s="50"/>
      <c r="F79" s="64"/>
      <c r="G79" s="66" t="s">
        <v>172</v>
      </c>
      <c r="H79" s="64"/>
      <c r="I79" s="51"/>
    </row>
    <row r="80" customFormat="false" ht="15" hidden="false" customHeight="false" outlineLevel="0" collapsed="false">
      <c r="B80" s="67"/>
      <c r="D80" s="6" t="s">
        <v>173</v>
      </c>
      <c r="G80" s="68" t="s">
        <v>174</v>
      </c>
      <c r="I80" s="69"/>
    </row>
    <row r="81" customFormat="false" ht="15" hidden="false" customHeight="false" outlineLevel="0" collapsed="false">
      <c r="B81" s="67"/>
      <c r="D81" s="6"/>
      <c r="G81" s="68"/>
      <c r="I81" s="69"/>
    </row>
    <row r="82" customFormat="false" ht="15" hidden="false" customHeight="false" outlineLevel="0" collapsed="false">
      <c r="B82" s="67"/>
      <c r="D82" s="6"/>
      <c r="G82" s="68"/>
      <c r="I82" s="69"/>
    </row>
    <row r="83" customFormat="false" ht="15" hidden="false" customHeight="false" outlineLevel="0" collapsed="false">
      <c r="B83" s="67"/>
      <c r="D83" s="6"/>
      <c r="G83" s="68"/>
      <c r="H83" s="5" t="s">
        <v>175</v>
      </c>
      <c r="I83" s="69"/>
    </row>
    <row r="84" customFormat="false" ht="15" hidden="false" customHeight="false" outlineLevel="0" collapsed="false">
      <c r="B84" s="67"/>
      <c r="D84" s="6"/>
      <c r="G84" s="68"/>
      <c r="I84" s="69"/>
    </row>
    <row r="85" customFormat="false" ht="15" hidden="false" customHeight="false" outlineLevel="0" collapsed="false">
      <c r="B85" s="67"/>
      <c r="D85" s="6"/>
      <c r="F85" s="70" t="s">
        <v>170</v>
      </c>
      <c r="G85" s="68"/>
      <c r="I85" s="69"/>
    </row>
    <row r="86" customFormat="false" ht="15" hidden="false" customHeight="false" outlineLevel="0" collapsed="false">
      <c r="B86" s="67"/>
      <c r="D86" s="6" t="s">
        <v>176</v>
      </c>
      <c r="G86" s="68" t="s">
        <v>176</v>
      </c>
      <c r="I86" s="69"/>
    </row>
    <row r="87" customFormat="false" ht="15" hidden="false" customHeight="false" outlineLevel="0" collapsed="false">
      <c r="B87" s="67"/>
      <c r="D87" s="70" t="s">
        <v>177</v>
      </c>
      <c r="G87" s="71" t="s">
        <v>178</v>
      </c>
      <c r="I87" s="69"/>
    </row>
    <row r="88" customFormat="false" ht="15" hidden="false" customHeight="false" outlineLevel="0" collapsed="false">
      <c r="B88" s="67"/>
      <c r="D88" s="5" t="s">
        <v>179</v>
      </c>
      <c r="G88" s="5" t="s">
        <v>180</v>
      </c>
      <c r="I88" s="69"/>
    </row>
    <row r="89" customFormat="false" ht="15" hidden="false" customHeight="false" outlineLevel="0" collapsed="false">
      <c r="B89" s="72"/>
      <c r="C89" s="73"/>
      <c r="D89" s="73"/>
      <c r="E89" s="73"/>
      <c r="F89" s="73"/>
      <c r="G89" s="74"/>
      <c r="H89" s="73"/>
      <c r="I89" s="75"/>
    </row>
    <row r="93" customFormat="false" ht="15" hidden="false" customHeight="false" outlineLevel="0" collapsed="false">
      <c r="D93" s="5" t="s">
        <v>181</v>
      </c>
      <c r="G93" s="5" t="s">
        <v>181</v>
      </c>
    </row>
    <row r="94" customFormat="false" ht="15" hidden="false" customHeight="false" outlineLevel="0" collapsed="false">
      <c r="D94" s="70" t="s">
        <v>25</v>
      </c>
      <c r="G94" s="70" t="s">
        <v>182</v>
      </c>
    </row>
  </sheetData>
  <conditionalFormatting sqref="H38:H40">
    <cfRule type="cellIs" priority="2" operator="equal" aboveAverage="0" equalAverage="0" bottom="0" percent="0" rank="0" text="" dxfId="0">
      <formula>"Enhancement"</formula>
    </cfRule>
    <cfRule type="cellIs" priority="3" operator="equal" aboveAverage="0" equalAverage="0" bottom="0" percent="0" rank="0" text="" dxfId="1">
      <formula>"Bug"</formula>
    </cfRule>
    <cfRule type="cellIs" priority="4" operator="equal" aboveAverage="0" equalAverage="0" bottom="0" percent="0" rank="0" text="" dxfId="2">
      <formula>"Passed"</formula>
    </cfRule>
  </conditionalFormatting>
  <conditionalFormatting sqref="H33:H36">
    <cfRule type="cellIs" priority="5" operator="equal" aboveAverage="0" equalAverage="0" bottom="0" percent="0" rank="0" text="" dxfId="0">
      <formula>"Enhancement"</formula>
    </cfRule>
    <cfRule type="cellIs" priority="6" operator="equal" aboveAverage="0" equalAverage="0" bottom="0" percent="0" rank="0" text="" dxfId="1">
      <formula>"Bug"</formula>
    </cfRule>
    <cfRule type="cellIs" priority="7" operator="equal" aboveAverage="0" equalAverage="0" bottom="0" percent="0" rank="0" text="" dxfId="2">
      <formula>"Passed"</formula>
    </cfRule>
  </conditionalFormatting>
  <dataValidations count="1">
    <dataValidation allowBlank="true" errorStyle="stop" operator="between" showDropDown="false" showErrorMessage="true" showInputMessage="true" sqref="H33:H36 H38:H57" type="list">
      <formula1>"Passed,Bug,Enhancement"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2024-01-21T00:03:19Z</dcterms:created>
  <dc:creator>Badr Interactive</dc:creator>
  <dc:description/>
  <dc:language>en-US</dc:language>
  <cp:lastModifiedBy>Lenggar Wiedo Wicaksono</cp:lastModifiedBy>
  <dcterms:modified xsi:type="dcterms:W3CDTF">2026-06-23T06:31:54Z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0x010100EECE8FBB7E8BCE47A2676B7638DE8579</vt:lpwstr>
  </property>
  <property fmtid="{D5CDD505-2E9C-101B-9397-08002B2CF9AE}" pid="3" name="MediaServiceImageTags">
    <vt:lpwstr/>
  </property>
</Properties>
</file>